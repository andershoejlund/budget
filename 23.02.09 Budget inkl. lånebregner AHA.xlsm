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Denne_projektmappe"/>
  <mc:AlternateContent xmlns:mc="http://schemas.openxmlformats.org/markup-compatibility/2006">
    <mc:Choice Requires="x15">
      <x15ac:absPath xmlns:x15ac="http://schemas.microsoft.com/office/spreadsheetml/2010/11/ac" url="/Users/andersha/Documents/3 PROJEKTER/ANDELSGÅRDE/"/>
    </mc:Choice>
  </mc:AlternateContent>
  <xr:revisionPtr revIDLastSave="0" documentId="13_ncr:1_{FE9920E1-463F-8B47-901E-0D710476796F}" xr6:coauthVersionLast="47" xr6:coauthVersionMax="47" xr10:uidLastSave="{00000000-0000-0000-0000-000000000000}"/>
  <bookViews>
    <workbookView xWindow="0" yWindow="0" windowWidth="38400" windowHeight="24000" activeTab="3" xr2:uid="{00000000-000D-0000-FFFF-FFFF00000000}"/>
  </bookViews>
  <sheets>
    <sheet name="2023" sheetId="1" r:id="rId1"/>
    <sheet name="2024" sheetId="3" r:id="rId2"/>
    <sheet name="2025" sheetId="2" r:id="rId3"/>
    <sheet name="Beregner" sheetId="4" r:id="rId4"/>
  </sheets>
  <definedNames>
    <definedName name="_xlnm._FilterDatabase" localSheetId="3" hidden="1">Beregner!$I$4:$M$125</definedName>
    <definedName name="RealMaaned" localSheetId="0">'2023'!$I$1</definedName>
    <definedName name="RealMaaned" localSheetId="1">'2024'!$I$1</definedName>
    <definedName name="RealMaaned" localSheetId="2">'2025'!$I$1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" i="4" l="1"/>
  <c r="C8" i="4"/>
  <c r="T4" i="4" s="1"/>
  <c r="F6" i="4"/>
  <c r="I5" i="4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M5" i="4"/>
  <c r="K6" i="4" s="1"/>
  <c r="L5" i="4"/>
  <c r="T5" i="4" l="1"/>
  <c r="AL51" i="3"/>
  <c r="AI51" i="3"/>
  <c r="AF51" i="3"/>
  <c r="AC51" i="3"/>
  <c r="Z51" i="3"/>
  <c r="W51" i="3"/>
  <c r="T51" i="3"/>
  <c r="Q51" i="3"/>
  <c r="N51" i="3"/>
  <c r="K51" i="3"/>
  <c r="H51" i="3"/>
  <c r="H53" i="3" s="1"/>
  <c r="E51" i="3"/>
  <c r="E53" i="3" s="1"/>
  <c r="D51" i="3"/>
  <c r="D52" i="3" s="1"/>
  <c r="D48" i="3"/>
  <c r="K47" i="3" s="1"/>
  <c r="AM43" i="3"/>
  <c r="AJ43" i="3"/>
  <c r="AG43" i="3"/>
  <c r="AD43" i="3"/>
  <c r="AA43" i="3"/>
  <c r="X43" i="3"/>
  <c r="U43" i="3"/>
  <c r="R43" i="3"/>
  <c r="O43" i="3"/>
  <c r="L43" i="3"/>
  <c r="I43" i="3"/>
  <c r="F43" i="3"/>
  <c r="D43" i="3"/>
  <c r="AN42" i="3"/>
  <c r="AK42" i="3"/>
  <c r="AH42" i="3"/>
  <c r="AE42" i="3"/>
  <c r="AB42" i="3"/>
  <c r="Y42" i="3"/>
  <c r="V42" i="3"/>
  <c r="S42" i="3"/>
  <c r="P42" i="3"/>
  <c r="M42" i="3"/>
  <c r="J42" i="3"/>
  <c r="G42" i="3"/>
  <c r="AH41" i="3"/>
  <c r="AE41" i="3"/>
  <c r="AB41" i="3"/>
  <c r="Y41" i="3"/>
  <c r="V41" i="3"/>
  <c r="S41" i="3"/>
  <c r="P41" i="3"/>
  <c r="G41" i="3"/>
  <c r="AL40" i="3"/>
  <c r="AN40" i="3" s="1"/>
  <c r="AI40" i="3"/>
  <c r="AK40" i="3" s="1"/>
  <c r="AH40" i="3"/>
  <c r="AE40" i="3"/>
  <c r="AB40" i="3"/>
  <c r="Y40" i="3"/>
  <c r="V40" i="3"/>
  <c r="S40" i="3"/>
  <c r="P40" i="3"/>
  <c r="K40" i="3"/>
  <c r="M40" i="3" s="1"/>
  <c r="H40" i="3"/>
  <c r="J40" i="3" s="1"/>
  <c r="G40" i="3"/>
  <c r="AN39" i="3"/>
  <c r="AK39" i="3"/>
  <c r="AH39" i="3"/>
  <c r="AE39" i="3"/>
  <c r="AB39" i="3"/>
  <c r="Y39" i="3"/>
  <c r="V39" i="3"/>
  <c r="S39" i="3"/>
  <c r="P39" i="3"/>
  <c r="M39" i="3"/>
  <c r="J39" i="3"/>
  <c r="G39" i="3"/>
  <c r="AN38" i="3"/>
  <c r="AK38" i="3"/>
  <c r="AH38" i="3"/>
  <c r="AE38" i="3"/>
  <c r="AB38" i="3"/>
  <c r="Y38" i="3"/>
  <c r="V38" i="3"/>
  <c r="S38" i="3"/>
  <c r="P38" i="3"/>
  <c r="M38" i="3"/>
  <c r="J38" i="3"/>
  <c r="G38" i="3"/>
  <c r="AM36" i="3"/>
  <c r="AM44" i="3" s="1"/>
  <c r="AJ36" i="3"/>
  <c r="AG36" i="3"/>
  <c r="AG44" i="3" s="1"/>
  <c r="AD36" i="3"/>
  <c r="AA36" i="3"/>
  <c r="AA44" i="3" s="1"/>
  <c r="X36" i="3"/>
  <c r="X44" i="3" s="1"/>
  <c r="U36" i="3"/>
  <c r="R36" i="3"/>
  <c r="O36" i="3"/>
  <c r="O44" i="3" s="1"/>
  <c r="L36" i="3"/>
  <c r="I36" i="3"/>
  <c r="I44" i="3" s="1"/>
  <c r="F36" i="3"/>
  <c r="D36" i="3"/>
  <c r="AN34" i="3"/>
  <c r="AL34" i="3"/>
  <c r="AI34" i="3"/>
  <c r="AK34" i="3" s="1"/>
  <c r="AF34" i="3"/>
  <c r="AH34" i="3" s="1"/>
  <c r="AC34" i="3"/>
  <c r="AE34" i="3" s="1"/>
  <c r="AB34" i="3"/>
  <c r="Z34" i="3"/>
  <c r="W34" i="3"/>
  <c r="Y34" i="3" s="1"/>
  <c r="T34" i="3"/>
  <c r="Q34" i="3"/>
  <c r="N34" i="3"/>
  <c r="P34" i="3" s="1"/>
  <c r="K34" i="3"/>
  <c r="M34" i="3" s="1"/>
  <c r="H34" i="3"/>
  <c r="J34" i="3" s="1"/>
  <c r="G34" i="3"/>
  <c r="AN33" i="3"/>
  <c r="AK33" i="3"/>
  <c r="AH33" i="3"/>
  <c r="AE33" i="3"/>
  <c r="AB33" i="3"/>
  <c r="Y33" i="3"/>
  <c r="V33" i="3"/>
  <c r="S33" i="3"/>
  <c r="P33" i="3"/>
  <c r="M33" i="3"/>
  <c r="J33" i="3"/>
  <c r="G33" i="3"/>
  <c r="AM30" i="3"/>
  <c r="AJ30" i="3"/>
  <c r="AG30" i="3"/>
  <c r="AD30" i="3"/>
  <c r="AA30" i="3"/>
  <c r="X30" i="3"/>
  <c r="U30" i="3"/>
  <c r="R30" i="3"/>
  <c r="O30" i="3"/>
  <c r="L30" i="3"/>
  <c r="I30" i="3"/>
  <c r="F30" i="3"/>
  <c r="AM29" i="3"/>
  <c r="AJ29" i="3"/>
  <c r="AG29" i="3"/>
  <c r="AD29" i="3"/>
  <c r="AA29" i="3"/>
  <c r="X29" i="3"/>
  <c r="U29" i="3"/>
  <c r="R29" i="3"/>
  <c r="O29" i="3"/>
  <c r="L29" i="3"/>
  <c r="I29" i="3"/>
  <c r="F29" i="3"/>
  <c r="I28" i="3"/>
  <c r="H28" i="3"/>
  <c r="E28" i="3"/>
  <c r="D28" i="3"/>
  <c r="AR27" i="3"/>
  <c r="AO27" i="3"/>
  <c r="AQ27" i="3" s="1"/>
  <c r="AV26" i="3"/>
  <c r="AQ26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U24" i="3"/>
  <c r="AV24" i="3" s="1"/>
  <c r="AR24" i="3"/>
  <c r="AP24" i="3"/>
  <c r="AO24" i="3"/>
  <c r="AN24" i="3"/>
  <c r="AK24" i="3"/>
  <c r="AH24" i="3"/>
  <c r="AE24" i="3"/>
  <c r="AB24" i="3"/>
  <c r="Y24" i="3"/>
  <c r="J24" i="3"/>
  <c r="AR23" i="3"/>
  <c r="AM23" i="3"/>
  <c r="AL23" i="3"/>
  <c r="AJ23" i="3"/>
  <c r="AI23" i="3"/>
  <c r="AG23" i="3"/>
  <c r="AF23" i="3"/>
  <c r="AD23" i="3"/>
  <c r="AE23" i="3" s="1"/>
  <c r="AC23" i="3"/>
  <c r="AA23" i="3"/>
  <c r="Z23" i="3"/>
  <c r="X23" i="3"/>
  <c r="W23" i="3"/>
  <c r="V23" i="3"/>
  <c r="U23" i="3"/>
  <c r="T23" i="3"/>
  <c r="R23" i="3"/>
  <c r="Q23" i="3"/>
  <c r="O23" i="3"/>
  <c r="N23" i="3"/>
  <c r="L23" i="3"/>
  <c r="K23" i="3"/>
  <c r="I23" i="3"/>
  <c r="H23" i="3"/>
  <c r="F23" i="3"/>
  <c r="BU23" i="3" s="1"/>
  <c r="E23" i="3"/>
  <c r="BI23" i="3" s="1"/>
  <c r="AR22" i="3"/>
  <c r="AM22" i="3"/>
  <c r="AJ22" i="3"/>
  <c r="AG22" i="3"/>
  <c r="AH22" i="3" s="1"/>
  <c r="AF22" i="3"/>
  <c r="AD22" i="3"/>
  <c r="AC22" i="3"/>
  <c r="AA22" i="3"/>
  <c r="AB22" i="3" s="1"/>
  <c r="Z22" i="3"/>
  <c r="X22" i="3"/>
  <c r="Y22" i="3" s="1"/>
  <c r="W22" i="3"/>
  <c r="U22" i="3"/>
  <c r="T22" i="3"/>
  <c r="R22" i="3"/>
  <c r="Q22" i="3"/>
  <c r="O22" i="3"/>
  <c r="L22" i="3"/>
  <c r="I22" i="3"/>
  <c r="F22" i="3"/>
  <c r="E22" i="3"/>
  <c r="BI22" i="3" s="1"/>
  <c r="AR21" i="3"/>
  <c r="AM21" i="3"/>
  <c r="AL21" i="3"/>
  <c r="AJ21" i="3"/>
  <c r="AI21" i="3"/>
  <c r="AG21" i="3"/>
  <c r="AH21" i="3" s="1"/>
  <c r="AF21" i="3"/>
  <c r="AD21" i="3"/>
  <c r="AC21" i="3"/>
  <c r="AA21" i="3"/>
  <c r="Z21" i="3"/>
  <c r="X21" i="3"/>
  <c r="W21" i="3"/>
  <c r="U21" i="3"/>
  <c r="T21" i="3"/>
  <c r="R21" i="3"/>
  <c r="Q21" i="3"/>
  <c r="O21" i="3"/>
  <c r="N21" i="3"/>
  <c r="L21" i="3"/>
  <c r="K21" i="3"/>
  <c r="I21" i="3"/>
  <c r="H21" i="3"/>
  <c r="F21" i="3"/>
  <c r="BU21" i="3" s="1"/>
  <c r="BV21" i="3" s="1"/>
  <c r="BW21" i="3" s="1"/>
  <c r="BX21" i="3" s="1"/>
  <c r="BY21" i="3" s="1"/>
  <c r="BZ21" i="3" s="1"/>
  <c r="CA21" i="3" s="1"/>
  <c r="CB21" i="3" s="1"/>
  <c r="CC21" i="3" s="1"/>
  <c r="E21" i="3"/>
  <c r="BI21" i="3" s="1"/>
  <c r="AR20" i="3"/>
  <c r="AM20" i="3"/>
  <c r="AL20" i="3"/>
  <c r="AK20" i="3"/>
  <c r="AJ20" i="3"/>
  <c r="AI20" i="3"/>
  <c r="AG20" i="3"/>
  <c r="AH20" i="3" s="1"/>
  <c r="AF20" i="3"/>
  <c r="AD20" i="3"/>
  <c r="AC20" i="3"/>
  <c r="AA20" i="3"/>
  <c r="Z20" i="3"/>
  <c r="X20" i="3"/>
  <c r="W20" i="3"/>
  <c r="U20" i="3"/>
  <c r="V20" i="3" s="1"/>
  <c r="T20" i="3"/>
  <c r="R20" i="3"/>
  <c r="Q20" i="3"/>
  <c r="O20" i="3"/>
  <c r="N20" i="3"/>
  <c r="L20" i="3"/>
  <c r="K20" i="3"/>
  <c r="I20" i="3"/>
  <c r="H20" i="3"/>
  <c r="F20" i="3"/>
  <c r="BU20" i="3" s="1"/>
  <c r="BV20" i="3" s="1"/>
  <c r="E20" i="3"/>
  <c r="BI20" i="3" s="1"/>
  <c r="BU19" i="3"/>
  <c r="AR19" i="3"/>
  <c r="AM19" i="3"/>
  <c r="AN19" i="3" s="1"/>
  <c r="AL19" i="3"/>
  <c r="AJ19" i="3"/>
  <c r="AI19" i="3"/>
  <c r="AG19" i="3"/>
  <c r="AF19" i="3"/>
  <c r="AD19" i="3"/>
  <c r="AC19" i="3"/>
  <c r="AE19" i="3" s="1"/>
  <c r="AA19" i="3"/>
  <c r="Z19" i="3"/>
  <c r="X19" i="3"/>
  <c r="Y19" i="3" s="1"/>
  <c r="W19" i="3"/>
  <c r="U19" i="3"/>
  <c r="T19" i="3"/>
  <c r="R19" i="3"/>
  <c r="Q19" i="3"/>
  <c r="O19" i="3"/>
  <c r="N19" i="3"/>
  <c r="L19" i="3"/>
  <c r="K19" i="3"/>
  <c r="I19" i="3"/>
  <c r="BV19" i="3" s="1"/>
  <c r="H19" i="3"/>
  <c r="F19" i="3"/>
  <c r="E19" i="3"/>
  <c r="BI19" i="3" s="1"/>
  <c r="BJ19" i="3" s="1"/>
  <c r="AO19" i="3" s="1"/>
  <c r="AR18" i="3"/>
  <c r="AM18" i="3"/>
  <c r="AL18" i="3"/>
  <c r="AK18" i="3"/>
  <c r="AJ18" i="3"/>
  <c r="AI18" i="3"/>
  <c r="AG18" i="3"/>
  <c r="AF18" i="3"/>
  <c r="AD18" i="3"/>
  <c r="AC18" i="3"/>
  <c r="AA18" i="3"/>
  <c r="Z18" i="3"/>
  <c r="X18" i="3"/>
  <c r="W18" i="3"/>
  <c r="U18" i="3"/>
  <c r="S18" i="3"/>
  <c r="R18" i="3"/>
  <c r="Q18" i="3"/>
  <c r="O18" i="3"/>
  <c r="P18" i="3" s="1"/>
  <c r="N18" i="3"/>
  <c r="L18" i="3"/>
  <c r="K18" i="3"/>
  <c r="I18" i="3"/>
  <c r="H18" i="3"/>
  <c r="F18" i="3"/>
  <c r="E18" i="3"/>
  <c r="BI18" i="3" s="1"/>
  <c r="AR17" i="3"/>
  <c r="AN17" i="3"/>
  <c r="AM17" i="3"/>
  <c r="AL17" i="3"/>
  <c r="AL45" i="3" s="1"/>
  <c r="AL46" i="3" s="1"/>
  <c r="AJ17" i="3"/>
  <c r="AI17" i="3"/>
  <c r="AG17" i="3"/>
  <c r="AF17" i="3"/>
  <c r="AD17" i="3"/>
  <c r="AE17" i="3" s="1"/>
  <c r="AC17" i="3"/>
  <c r="AC45" i="3" s="1"/>
  <c r="AC46" i="3" s="1"/>
  <c r="AA17" i="3"/>
  <c r="Z17" i="3"/>
  <c r="Z45" i="3" s="1"/>
  <c r="Z46" i="3" s="1"/>
  <c r="X17" i="3"/>
  <c r="W17" i="3"/>
  <c r="W45" i="3" s="1"/>
  <c r="W46" i="3" s="1"/>
  <c r="U17" i="3"/>
  <c r="T17" i="3"/>
  <c r="T45" i="3" s="1"/>
  <c r="T46" i="3" s="1"/>
  <c r="R17" i="3"/>
  <c r="Q17" i="3"/>
  <c r="Q45" i="3" s="1"/>
  <c r="Q46" i="3" s="1"/>
  <c r="O17" i="3"/>
  <c r="P17" i="3" s="1"/>
  <c r="N17" i="3"/>
  <c r="N45" i="3" s="1"/>
  <c r="N46" i="3" s="1"/>
  <c r="L17" i="3"/>
  <c r="K17" i="3"/>
  <c r="K45" i="3" s="1"/>
  <c r="K46" i="3" s="1"/>
  <c r="I17" i="3"/>
  <c r="J17" i="3" s="1"/>
  <c r="H17" i="3"/>
  <c r="H45" i="3" s="1"/>
  <c r="H46" i="3" s="1"/>
  <c r="F17" i="3"/>
  <c r="BU17" i="3" s="1"/>
  <c r="BV17" i="3" s="1"/>
  <c r="BW17" i="3" s="1"/>
  <c r="BX17" i="3" s="1"/>
  <c r="BY17" i="3" s="1"/>
  <c r="BZ17" i="3" s="1"/>
  <c r="CA17" i="3" s="1"/>
  <c r="CB17" i="3" s="1"/>
  <c r="CC17" i="3" s="1"/>
  <c r="CD17" i="3" s="1"/>
  <c r="CE17" i="3" s="1"/>
  <c r="CF17" i="3" s="1"/>
  <c r="E17" i="3"/>
  <c r="E45" i="3" s="1"/>
  <c r="E46" i="3" s="1"/>
  <c r="AO16" i="3"/>
  <c r="AN16" i="3"/>
  <c r="AK16" i="3"/>
  <c r="AH16" i="3"/>
  <c r="AE16" i="3"/>
  <c r="AB16" i="3"/>
  <c r="Y16" i="3"/>
  <c r="V16" i="3"/>
  <c r="S16" i="3"/>
  <c r="P16" i="3"/>
  <c r="M16" i="3"/>
  <c r="J16" i="3"/>
  <c r="G16" i="3"/>
  <c r="AR15" i="3"/>
  <c r="U15" i="3"/>
  <c r="BU14" i="3"/>
  <c r="BV14" i="3" s="1"/>
  <c r="BW14" i="3" s="1"/>
  <c r="BX14" i="3" s="1"/>
  <c r="BY14" i="3" s="1"/>
  <c r="BZ14" i="3" s="1"/>
  <c r="CA14" i="3" s="1"/>
  <c r="CB14" i="3" s="1"/>
  <c r="CC14" i="3" s="1"/>
  <c r="CD14" i="3" s="1"/>
  <c r="CE14" i="3" s="1"/>
  <c r="CF14" i="3" s="1"/>
  <c r="BI14" i="3"/>
  <c r="BJ14" i="3" s="1"/>
  <c r="BH14" i="3"/>
  <c r="BG14" i="3"/>
  <c r="BF14" i="3"/>
  <c r="BE14" i="3"/>
  <c r="BD14" i="3"/>
  <c r="BC14" i="3"/>
  <c r="BB14" i="3"/>
  <c r="BA14" i="3"/>
  <c r="AZ14" i="3"/>
  <c r="AY14" i="3"/>
  <c r="AX14" i="3"/>
  <c r="AW14" i="3"/>
  <c r="AU14" i="3"/>
  <c r="AV14" i="3" s="1"/>
  <c r="AR14" i="3"/>
  <c r="AN14" i="3"/>
  <c r="AK14" i="3"/>
  <c r="AH14" i="3"/>
  <c r="AE14" i="3"/>
  <c r="AB14" i="3"/>
  <c r="Y14" i="3"/>
  <c r="V14" i="3"/>
  <c r="S14" i="3"/>
  <c r="P14" i="3"/>
  <c r="M14" i="3"/>
  <c r="J14" i="3"/>
  <c r="G14" i="3"/>
  <c r="BU13" i="3"/>
  <c r="BV13" i="3" s="1"/>
  <c r="BW13" i="3" s="1"/>
  <c r="BX13" i="3" s="1"/>
  <c r="BY13" i="3" s="1"/>
  <c r="BZ13" i="3" s="1"/>
  <c r="CA13" i="3" s="1"/>
  <c r="CB13" i="3" s="1"/>
  <c r="CC13" i="3" s="1"/>
  <c r="CD13" i="3" s="1"/>
  <c r="CE13" i="3" s="1"/>
  <c r="CF13" i="3" s="1"/>
  <c r="BI13" i="3"/>
  <c r="BJ13" i="3" s="1"/>
  <c r="BH13" i="3"/>
  <c r="BG13" i="3"/>
  <c r="BF13" i="3"/>
  <c r="BE13" i="3"/>
  <c r="BD13" i="3"/>
  <c r="BC13" i="3"/>
  <c r="BB13" i="3"/>
  <c r="BA13" i="3"/>
  <c r="AZ13" i="3"/>
  <c r="AY13" i="3"/>
  <c r="AX13" i="3"/>
  <c r="AU13" i="3" s="1"/>
  <c r="AV13" i="3" s="1"/>
  <c r="AW13" i="3"/>
  <c r="AR13" i="3"/>
  <c r="AN13" i="3"/>
  <c r="AK13" i="3"/>
  <c r="AH13" i="3"/>
  <c r="AE13" i="3"/>
  <c r="AB13" i="3"/>
  <c r="Y13" i="3"/>
  <c r="V13" i="3"/>
  <c r="S13" i="3"/>
  <c r="P13" i="3"/>
  <c r="M13" i="3"/>
  <c r="J13" i="3"/>
  <c r="G13" i="3"/>
  <c r="BV12" i="3"/>
  <c r="BW12" i="3" s="1"/>
  <c r="BX12" i="3" s="1"/>
  <c r="BY12" i="3" s="1"/>
  <c r="BZ12" i="3" s="1"/>
  <c r="CA12" i="3" s="1"/>
  <c r="CB12" i="3" s="1"/>
  <c r="CC12" i="3" s="1"/>
  <c r="CD12" i="3" s="1"/>
  <c r="CE12" i="3" s="1"/>
  <c r="CF12" i="3" s="1"/>
  <c r="BU12" i="3"/>
  <c r="BI12" i="3"/>
  <c r="BJ12" i="3" s="1"/>
  <c r="BK12" i="3" s="1"/>
  <c r="BL12" i="3" s="1"/>
  <c r="BM12" i="3" s="1"/>
  <c r="BN12" i="3" s="1"/>
  <c r="BO12" i="3" s="1"/>
  <c r="BP12" i="3" s="1"/>
  <c r="BQ12" i="3" s="1"/>
  <c r="BR12" i="3" s="1"/>
  <c r="BS12" i="3" s="1"/>
  <c r="BT12" i="3" s="1"/>
  <c r="BH12" i="3"/>
  <c r="BG12" i="3"/>
  <c r="BF12" i="3"/>
  <c r="BE12" i="3"/>
  <c r="BD12" i="3"/>
  <c r="BC12" i="3"/>
  <c r="BB12" i="3"/>
  <c r="BA12" i="3"/>
  <c r="AZ12" i="3"/>
  <c r="AY12" i="3"/>
  <c r="AX12" i="3"/>
  <c r="AU12" i="3" s="1"/>
  <c r="AW12" i="3"/>
  <c r="AV12" i="3"/>
  <c r="AR12" i="3"/>
  <c r="AO12" i="3"/>
  <c r="AN12" i="3"/>
  <c r="AK12" i="3"/>
  <c r="AH12" i="3"/>
  <c r="AE12" i="3"/>
  <c r="AB12" i="3"/>
  <c r="Y12" i="3"/>
  <c r="V12" i="3"/>
  <c r="S12" i="3"/>
  <c r="P12" i="3"/>
  <c r="M12" i="3"/>
  <c r="J12" i="3"/>
  <c r="G12" i="3"/>
  <c r="BU11" i="3"/>
  <c r="BV11" i="3" s="1"/>
  <c r="BI11" i="3"/>
  <c r="BJ11" i="3" s="1"/>
  <c r="BH11" i="3"/>
  <c r="BG11" i="3"/>
  <c r="BF11" i="3"/>
  <c r="BE11" i="3"/>
  <c r="BD11" i="3"/>
  <c r="BC11" i="3"/>
  <c r="BB11" i="3"/>
  <c r="BA11" i="3"/>
  <c r="AZ11" i="3"/>
  <c r="AY11" i="3"/>
  <c r="AX11" i="3"/>
  <c r="AU11" i="3" s="1"/>
  <c r="AV11" i="3" s="1"/>
  <c r="AW11" i="3"/>
  <c r="AR11" i="3"/>
  <c r="AN11" i="3"/>
  <c r="AK11" i="3"/>
  <c r="AH11" i="3"/>
  <c r="AE11" i="3"/>
  <c r="AB11" i="3"/>
  <c r="Y11" i="3"/>
  <c r="V11" i="3"/>
  <c r="S11" i="3"/>
  <c r="P11" i="3"/>
  <c r="M11" i="3"/>
  <c r="J11" i="3"/>
  <c r="G11" i="3"/>
  <c r="BU10" i="3"/>
  <c r="BV10" i="3" s="1"/>
  <c r="BW10" i="3" s="1"/>
  <c r="BX10" i="3" s="1"/>
  <c r="BY10" i="3" s="1"/>
  <c r="BZ10" i="3" s="1"/>
  <c r="CA10" i="3" s="1"/>
  <c r="CB10" i="3" s="1"/>
  <c r="CC10" i="3" s="1"/>
  <c r="CD10" i="3" s="1"/>
  <c r="CE10" i="3" s="1"/>
  <c r="CF10" i="3" s="1"/>
  <c r="BI10" i="3"/>
  <c r="BJ10" i="3" s="1"/>
  <c r="BH10" i="3"/>
  <c r="BG10" i="3"/>
  <c r="BF10" i="3"/>
  <c r="BE10" i="3"/>
  <c r="BD10" i="3"/>
  <c r="BC10" i="3"/>
  <c r="BB10" i="3"/>
  <c r="BA10" i="3"/>
  <c r="AZ10" i="3"/>
  <c r="AY10" i="3"/>
  <c r="AX10" i="3"/>
  <c r="AU10" i="3" s="1"/>
  <c r="AV10" i="3" s="1"/>
  <c r="AW10" i="3"/>
  <c r="AR10" i="3"/>
  <c r="AP10" i="3"/>
  <c r="AN10" i="3"/>
  <c r="AK10" i="3"/>
  <c r="AH10" i="3"/>
  <c r="AE10" i="3"/>
  <c r="AB10" i="3"/>
  <c r="Y10" i="3"/>
  <c r="V10" i="3"/>
  <c r="S10" i="3"/>
  <c r="P10" i="3"/>
  <c r="M10" i="3"/>
  <c r="J10" i="3"/>
  <c r="G10" i="3"/>
  <c r="BU9" i="3"/>
  <c r="BV9" i="3" s="1"/>
  <c r="BW9" i="3" s="1"/>
  <c r="BX9" i="3" s="1"/>
  <c r="BY9" i="3" s="1"/>
  <c r="BZ9" i="3" s="1"/>
  <c r="CA9" i="3" s="1"/>
  <c r="CB9" i="3" s="1"/>
  <c r="CC9" i="3" s="1"/>
  <c r="CD9" i="3" s="1"/>
  <c r="CE9" i="3" s="1"/>
  <c r="CF9" i="3" s="1"/>
  <c r="BI9" i="3"/>
  <c r="BJ9" i="3" s="1"/>
  <c r="BH9" i="3"/>
  <c r="BG9" i="3"/>
  <c r="BF9" i="3"/>
  <c r="BE9" i="3"/>
  <c r="BD9" i="3"/>
  <c r="BC9" i="3"/>
  <c r="BB9" i="3"/>
  <c r="BA9" i="3"/>
  <c r="AZ9" i="3"/>
  <c r="AY9" i="3"/>
  <c r="AX9" i="3"/>
  <c r="AU9" i="3" s="1"/>
  <c r="AV9" i="3" s="1"/>
  <c r="AW9" i="3"/>
  <c r="AR9" i="3"/>
  <c r="AN9" i="3"/>
  <c r="AK9" i="3"/>
  <c r="AH9" i="3"/>
  <c r="AE9" i="3"/>
  <c r="AB9" i="3"/>
  <c r="Y9" i="3"/>
  <c r="V9" i="3"/>
  <c r="S9" i="3"/>
  <c r="P9" i="3"/>
  <c r="M9" i="3"/>
  <c r="J9" i="3"/>
  <c r="G9" i="3"/>
  <c r="BV8" i="3"/>
  <c r="BW8" i="3" s="1"/>
  <c r="BX8" i="3" s="1"/>
  <c r="BY8" i="3" s="1"/>
  <c r="BZ8" i="3" s="1"/>
  <c r="CA8" i="3" s="1"/>
  <c r="CB8" i="3" s="1"/>
  <c r="CC8" i="3" s="1"/>
  <c r="CD8" i="3" s="1"/>
  <c r="CE8" i="3" s="1"/>
  <c r="CF8" i="3" s="1"/>
  <c r="BU8" i="3"/>
  <c r="BI8" i="3"/>
  <c r="BJ8" i="3" s="1"/>
  <c r="BH8" i="3"/>
  <c r="BG8" i="3"/>
  <c r="BF8" i="3"/>
  <c r="BE8" i="3"/>
  <c r="BD8" i="3"/>
  <c r="BC8" i="3"/>
  <c r="BB8" i="3"/>
  <c r="BA8" i="3"/>
  <c r="AZ8" i="3"/>
  <c r="AY8" i="3"/>
  <c r="AX8" i="3"/>
  <c r="AU8" i="3" s="1"/>
  <c r="AW8" i="3"/>
  <c r="AV8" i="3"/>
  <c r="AR8" i="3"/>
  <c r="AN8" i="3"/>
  <c r="AK8" i="3"/>
  <c r="AH8" i="3"/>
  <c r="AE8" i="3"/>
  <c r="AB8" i="3"/>
  <c r="Y8" i="3"/>
  <c r="V8" i="3"/>
  <c r="S8" i="3"/>
  <c r="P8" i="3"/>
  <c r="M8" i="3"/>
  <c r="J8" i="3"/>
  <c r="G8" i="3"/>
  <c r="AT7" i="3"/>
  <c r="AT15" i="3" s="1"/>
  <c r="AR7" i="3"/>
  <c r="AM7" i="3"/>
  <c r="AM15" i="3" s="1"/>
  <c r="AM25" i="3" s="1"/>
  <c r="AL7" i="3"/>
  <c r="AL15" i="3" s="1"/>
  <c r="AJ7" i="3"/>
  <c r="AJ15" i="3" s="1"/>
  <c r="AJ25" i="3" s="1"/>
  <c r="AI7" i="3"/>
  <c r="AI15" i="3" s="1"/>
  <c r="AG7" i="3"/>
  <c r="AG15" i="3" s="1"/>
  <c r="AF7" i="3"/>
  <c r="AF15" i="3" s="1"/>
  <c r="AF25" i="3" s="1"/>
  <c r="AD7" i="3"/>
  <c r="AD15" i="3" s="1"/>
  <c r="AC7" i="3"/>
  <c r="AC15" i="3" s="1"/>
  <c r="AC25" i="3" s="1"/>
  <c r="AA7" i="3"/>
  <c r="Z7" i="3"/>
  <c r="Z15" i="3" s="1"/>
  <c r="X7" i="3"/>
  <c r="X15" i="3" s="1"/>
  <c r="X25" i="3" s="1"/>
  <c r="W7" i="3"/>
  <c r="W15" i="3" s="1"/>
  <c r="W25" i="3" s="1"/>
  <c r="U7" i="3"/>
  <c r="T7" i="3"/>
  <c r="V7" i="3" s="1"/>
  <c r="R7" i="3"/>
  <c r="R15" i="3" s="1"/>
  <c r="Q7" i="3"/>
  <c r="Q15" i="3" s="1"/>
  <c r="O7" i="3"/>
  <c r="N7" i="3"/>
  <c r="N15" i="3" s="1"/>
  <c r="M7" i="3"/>
  <c r="L7" i="3"/>
  <c r="L15" i="3" s="1"/>
  <c r="L25" i="3" s="1"/>
  <c r="K7" i="3"/>
  <c r="K15" i="3" s="1"/>
  <c r="I7" i="3"/>
  <c r="I15" i="3" s="1"/>
  <c r="H7" i="3"/>
  <c r="H15" i="3" s="1"/>
  <c r="F7" i="3"/>
  <c r="E7" i="3"/>
  <c r="BI7" i="3" s="1"/>
  <c r="BJ7" i="3" s="1"/>
  <c r="BV6" i="3"/>
  <c r="BW6" i="3" s="1"/>
  <c r="BX6" i="3" s="1"/>
  <c r="BY6" i="3" s="1"/>
  <c r="BZ6" i="3" s="1"/>
  <c r="CA6" i="3" s="1"/>
  <c r="CB6" i="3" s="1"/>
  <c r="CC6" i="3" s="1"/>
  <c r="CD6" i="3" s="1"/>
  <c r="CE6" i="3" s="1"/>
  <c r="CF6" i="3" s="1"/>
  <c r="BU6" i="3"/>
  <c r="BI6" i="3"/>
  <c r="BJ6" i="3" s="1"/>
  <c r="BH6" i="3"/>
  <c r="BG6" i="3"/>
  <c r="BF6" i="3"/>
  <c r="BE6" i="3"/>
  <c r="BD6" i="3"/>
  <c r="BC6" i="3"/>
  <c r="BB6" i="3"/>
  <c r="BA6" i="3"/>
  <c r="AZ6" i="3"/>
  <c r="AY6" i="3"/>
  <c r="AX6" i="3"/>
  <c r="AU6" i="3" s="1"/>
  <c r="AV6" i="3" s="1"/>
  <c r="AW6" i="3"/>
  <c r="AR6" i="3"/>
  <c r="AN6" i="3"/>
  <c r="AK6" i="3"/>
  <c r="AH6" i="3"/>
  <c r="AE6" i="3"/>
  <c r="AB6" i="3"/>
  <c r="Y6" i="3"/>
  <c r="V6" i="3"/>
  <c r="S6" i="3"/>
  <c r="P6" i="3"/>
  <c r="M6" i="3"/>
  <c r="J6" i="3"/>
  <c r="G6" i="3"/>
  <c r="BU5" i="3"/>
  <c r="BV5" i="3" s="1"/>
  <c r="AP5" i="3" s="1"/>
  <c r="BI5" i="3"/>
  <c r="BJ5" i="3" s="1"/>
  <c r="BH5" i="3"/>
  <c r="BG5" i="3"/>
  <c r="BG7" i="3" s="1"/>
  <c r="BF5" i="3"/>
  <c r="BE5" i="3"/>
  <c r="BD5" i="3"/>
  <c r="BC5" i="3"/>
  <c r="BB5" i="3"/>
  <c r="BA5" i="3"/>
  <c r="AZ5" i="3"/>
  <c r="AY5" i="3"/>
  <c r="AY7" i="3" s="1"/>
  <c r="AX5" i="3"/>
  <c r="AU5" i="3" s="1"/>
  <c r="AV5" i="3" s="1"/>
  <c r="AW5" i="3"/>
  <c r="AR5" i="3"/>
  <c r="AN5" i="3"/>
  <c r="AK5" i="3"/>
  <c r="AH5" i="3"/>
  <c r="AE5" i="3"/>
  <c r="AB5" i="3"/>
  <c r="Y5" i="3"/>
  <c r="V5" i="3"/>
  <c r="S5" i="3"/>
  <c r="P5" i="3"/>
  <c r="M5" i="3"/>
  <c r="J5" i="3"/>
  <c r="G5" i="3"/>
  <c r="BU4" i="3"/>
  <c r="BV4" i="3" s="1"/>
  <c r="BJ4" i="3"/>
  <c r="BI4" i="3"/>
  <c r="BH4" i="3"/>
  <c r="BG4" i="3"/>
  <c r="BF4" i="3"/>
  <c r="BE4" i="3"/>
  <c r="BD4" i="3"/>
  <c r="BC4" i="3"/>
  <c r="BB4" i="3"/>
  <c r="BB7" i="3" s="1"/>
  <c r="BA4" i="3"/>
  <c r="AZ4" i="3"/>
  <c r="AY4" i="3"/>
  <c r="AX4" i="3"/>
  <c r="AU4" i="3" s="1"/>
  <c r="AW4" i="3"/>
  <c r="AR4" i="3"/>
  <c r="AN4" i="3"/>
  <c r="AK4" i="3"/>
  <c r="AH4" i="3"/>
  <c r="AE4" i="3"/>
  <c r="AB4" i="3"/>
  <c r="Y4" i="3"/>
  <c r="V4" i="3"/>
  <c r="S4" i="3"/>
  <c r="P4" i="3"/>
  <c r="M4" i="3"/>
  <c r="J4" i="3"/>
  <c r="G4" i="3"/>
  <c r="AY1" i="3"/>
  <c r="AL51" i="2"/>
  <c r="AI51" i="2"/>
  <c r="AF51" i="2"/>
  <c r="AC51" i="2"/>
  <c r="Z51" i="2"/>
  <c r="W51" i="2"/>
  <c r="T51" i="2"/>
  <c r="Q51" i="2"/>
  <c r="N51" i="2"/>
  <c r="K51" i="2"/>
  <c r="H51" i="2"/>
  <c r="E51" i="2"/>
  <c r="E53" i="2" s="1"/>
  <c r="D51" i="2"/>
  <c r="D52" i="2" s="1"/>
  <c r="D48" i="2"/>
  <c r="K47" i="2" s="1"/>
  <c r="AM43" i="2"/>
  <c r="AJ43" i="2"/>
  <c r="AG43" i="2"/>
  <c r="AD43" i="2"/>
  <c r="AA43" i="2"/>
  <c r="X43" i="2"/>
  <c r="U43" i="2"/>
  <c r="R43" i="2"/>
  <c r="O43" i="2"/>
  <c r="L43" i="2"/>
  <c r="I43" i="2"/>
  <c r="F43" i="2"/>
  <c r="D43" i="2"/>
  <c r="AN42" i="2"/>
  <c r="AK42" i="2"/>
  <c r="AH42" i="2"/>
  <c r="AE42" i="2"/>
  <c r="AB42" i="2"/>
  <c r="Y42" i="2"/>
  <c r="V42" i="2"/>
  <c r="S42" i="2"/>
  <c r="P42" i="2"/>
  <c r="M42" i="2"/>
  <c r="J42" i="2"/>
  <c r="G42" i="2"/>
  <c r="AH41" i="2"/>
  <c r="AE41" i="2"/>
  <c r="AB41" i="2"/>
  <c r="Y41" i="2"/>
  <c r="V41" i="2"/>
  <c r="S41" i="2"/>
  <c r="P41" i="2"/>
  <c r="G41" i="2"/>
  <c r="AL40" i="2"/>
  <c r="AN40" i="2" s="1"/>
  <c r="AI40" i="2"/>
  <c r="AH40" i="2"/>
  <c r="AE40" i="2"/>
  <c r="AB40" i="2"/>
  <c r="Y40" i="2"/>
  <c r="V40" i="2"/>
  <c r="S40" i="2"/>
  <c r="P40" i="2"/>
  <c r="K40" i="2"/>
  <c r="M40" i="2" s="1"/>
  <c r="H40" i="2"/>
  <c r="J40" i="2" s="1"/>
  <c r="G40" i="2"/>
  <c r="AN39" i="2"/>
  <c r="AK39" i="2"/>
  <c r="AH39" i="2"/>
  <c r="AE39" i="2"/>
  <c r="AB39" i="2"/>
  <c r="Y39" i="2"/>
  <c r="V39" i="2"/>
  <c r="S39" i="2"/>
  <c r="P39" i="2"/>
  <c r="M39" i="2"/>
  <c r="J39" i="2"/>
  <c r="G39" i="2"/>
  <c r="AN38" i="2"/>
  <c r="AK38" i="2"/>
  <c r="AH38" i="2"/>
  <c r="AE38" i="2"/>
  <c r="AB38" i="2"/>
  <c r="Y38" i="2"/>
  <c r="V38" i="2"/>
  <c r="S38" i="2"/>
  <c r="P38" i="2"/>
  <c r="M38" i="2"/>
  <c r="J38" i="2"/>
  <c r="G38" i="2"/>
  <c r="AM36" i="2"/>
  <c r="AM44" i="2" s="1"/>
  <c r="AJ36" i="2"/>
  <c r="AG36" i="2"/>
  <c r="AD36" i="2"/>
  <c r="AA36" i="2"/>
  <c r="X36" i="2"/>
  <c r="U36" i="2"/>
  <c r="R36" i="2"/>
  <c r="O36" i="2"/>
  <c r="O44" i="2" s="1"/>
  <c r="L36" i="2"/>
  <c r="I36" i="2"/>
  <c r="F36" i="2"/>
  <c r="D36" i="2"/>
  <c r="AL34" i="2"/>
  <c r="AI34" i="2"/>
  <c r="AK34" i="2" s="1"/>
  <c r="AF34" i="2"/>
  <c r="AH34" i="2" s="1"/>
  <c r="AC34" i="2"/>
  <c r="AE34" i="2" s="1"/>
  <c r="Z34" i="2"/>
  <c r="AC18" i="2" s="1"/>
  <c r="W34" i="2"/>
  <c r="Y34" i="2" s="1"/>
  <c r="T34" i="2"/>
  <c r="Q34" i="2"/>
  <c r="N34" i="2"/>
  <c r="Q18" i="2" s="1"/>
  <c r="K34" i="2"/>
  <c r="M34" i="2" s="1"/>
  <c r="H34" i="2"/>
  <c r="J34" i="2" s="1"/>
  <c r="G34" i="2"/>
  <c r="AN33" i="2"/>
  <c r="AK33" i="2"/>
  <c r="AH33" i="2"/>
  <c r="AE33" i="2"/>
  <c r="AB33" i="2"/>
  <c r="Y33" i="2"/>
  <c r="V33" i="2"/>
  <c r="S33" i="2"/>
  <c r="P33" i="2"/>
  <c r="M33" i="2"/>
  <c r="J33" i="2"/>
  <c r="G33" i="2"/>
  <c r="AM30" i="2"/>
  <c r="AJ30" i="2"/>
  <c r="AG30" i="2"/>
  <c r="AD30" i="2"/>
  <c r="AA30" i="2"/>
  <c r="X30" i="2"/>
  <c r="U30" i="2"/>
  <c r="R30" i="2"/>
  <c r="O30" i="2"/>
  <c r="L30" i="2"/>
  <c r="I30" i="2"/>
  <c r="F30" i="2"/>
  <c r="AM29" i="2"/>
  <c r="AJ29" i="2"/>
  <c r="AG29" i="2"/>
  <c r="AD29" i="2"/>
  <c r="AA29" i="2"/>
  <c r="X29" i="2"/>
  <c r="U29" i="2"/>
  <c r="R29" i="2"/>
  <c r="O29" i="2"/>
  <c r="L29" i="2"/>
  <c r="I29" i="2"/>
  <c r="F29" i="2"/>
  <c r="E28" i="2"/>
  <c r="D28" i="2"/>
  <c r="AR27" i="2"/>
  <c r="AO27" i="2"/>
  <c r="AQ27" i="2" s="1"/>
  <c r="AV26" i="2"/>
  <c r="AQ26" i="2"/>
  <c r="BH24" i="2"/>
  <c r="BG24" i="2"/>
  <c r="BF24" i="2"/>
  <c r="BE24" i="2"/>
  <c r="BD24" i="2"/>
  <c r="BC24" i="2"/>
  <c r="BB24" i="2"/>
  <c r="AU24" i="2" s="1"/>
  <c r="AV24" i="2" s="1"/>
  <c r="BA24" i="2"/>
  <c r="AZ24" i="2"/>
  <c r="AY24" i="2"/>
  <c r="AX24" i="2"/>
  <c r="AW24" i="2"/>
  <c r="AR24" i="2"/>
  <c r="AP24" i="2"/>
  <c r="AO24" i="2"/>
  <c r="AQ24" i="2" s="1"/>
  <c r="AN24" i="2"/>
  <c r="AK24" i="2"/>
  <c r="AH24" i="2"/>
  <c r="AE24" i="2"/>
  <c r="AB24" i="2"/>
  <c r="Y24" i="2"/>
  <c r="J24" i="2"/>
  <c r="AR23" i="2"/>
  <c r="AM23" i="2"/>
  <c r="AL23" i="2"/>
  <c r="AJ23" i="2"/>
  <c r="AK23" i="2" s="1"/>
  <c r="AI23" i="2"/>
  <c r="AG23" i="2"/>
  <c r="AF23" i="2"/>
  <c r="AD23" i="2"/>
  <c r="AC23" i="2"/>
  <c r="AA23" i="2"/>
  <c r="Z23" i="2"/>
  <c r="X23" i="2"/>
  <c r="W23" i="2"/>
  <c r="U23" i="2"/>
  <c r="T23" i="2"/>
  <c r="R23" i="2"/>
  <c r="S23" i="2" s="1"/>
  <c r="Q23" i="2"/>
  <c r="O23" i="2"/>
  <c r="P23" i="2" s="1"/>
  <c r="N23" i="2"/>
  <c r="L23" i="2"/>
  <c r="K23" i="2"/>
  <c r="I23" i="2"/>
  <c r="H23" i="2"/>
  <c r="F23" i="2"/>
  <c r="BU23" i="2" s="1"/>
  <c r="E23" i="2"/>
  <c r="BI23" i="2" s="1"/>
  <c r="AR22" i="2"/>
  <c r="AM22" i="2"/>
  <c r="AJ22" i="2"/>
  <c r="AG22" i="2"/>
  <c r="AF22" i="2"/>
  <c r="AD22" i="2"/>
  <c r="AC22" i="2"/>
  <c r="AE22" i="2" s="1"/>
  <c r="AA22" i="2"/>
  <c r="Z22" i="2"/>
  <c r="X22" i="2"/>
  <c r="W22" i="2"/>
  <c r="U22" i="2"/>
  <c r="T22" i="2"/>
  <c r="R22" i="2"/>
  <c r="Q22" i="2"/>
  <c r="O22" i="2"/>
  <c r="L22" i="2"/>
  <c r="I22" i="2"/>
  <c r="F22" i="2"/>
  <c r="BU22" i="2" s="1"/>
  <c r="E22" i="2"/>
  <c r="AR21" i="2"/>
  <c r="AM21" i="2"/>
  <c r="AJ21" i="2"/>
  <c r="AG21" i="2"/>
  <c r="AF21" i="2"/>
  <c r="AD21" i="2"/>
  <c r="AC21" i="2"/>
  <c r="AA21" i="2"/>
  <c r="Z21" i="2"/>
  <c r="X21" i="2"/>
  <c r="W21" i="2"/>
  <c r="U21" i="2"/>
  <c r="T21" i="2"/>
  <c r="R21" i="2"/>
  <c r="Q21" i="2"/>
  <c r="O21" i="2"/>
  <c r="L21" i="2"/>
  <c r="I21" i="2"/>
  <c r="H21" i="2"/>
  <c r="F21" i="2"/>
  <c r="BU21" i="2" s="1"/>
  <c r="E21" i="2"/>
  <c r="BI21" i="2" s="1"/>
  <c r="AR20" i="2"/>
  <c r="AM20" i="2"/>
  <c r="AL20" i="2"/>
  <c r="AJ20" i="2"/>
  <c r="AI20" i="2"/>
  <c r="AG20" i="2"/>
  <c r="AF20" i="2"/>
  <c r="AD20" i="2"/>
  <c r="AE20" i="2" s="1"/>
  <c r="AC20" i="2"/>
  <c r="AA20" i="2"/>
  <c r="Z20" i="2"/>
  <c r="X20" i="2"/>
  <c r="W20" i="2"/>
  <c r="U20" i="2"/>
  <c r="T20" i="2"/>
  <c r="R20" i="2"/>
  <c r="Q20" i="2"/>
  <c r="O20" i="2"/>
  <c r="N20" i="2"/>
  <c r="L20" i="2"/>
  <c r="K20" i="2"/>
  <c r="I20" i="2"/>
  <c r="H20" i="2"/>
  <c r="F20" i="2"/>
  <c r="BU20" i="2" s="1"/>
  <c r="E20" i="2"/>
  <c r="BI20" i="2" s="1"/>
  <c r="AR19" i="2"/>
  <c r="AM19" i="2"/>
  <c r="AL19" i="2"/>
  <c r="AJ19" i="2"/>
  <c r="AI19" i="2"/>
  <c r="AG19" i="2"/>
  <c r="AF19" i="2"/>
  <c r="AD19" i="2"/>
  <c r="AC19" i="2"/>
  <c r="AA19" i="2"/>
  <c r="Z19" i="2"/>
  <c r="X19" i="2"/>
  <c r="W19" i="2"/>
  <c r="U19" i="2"/>
  <c r="T19" i="2"/>
  <c r="R19" i="2"/>
  <c r="Q19" i="2"/>
  <c r="O19" i="2"/>
  <c r="N19" i="2"/>
  <c r="L19" i="2"/>
  <c r="K19" i="2"/>
  <c r="I19" i="2"/>
  <c r="H19" i="2"/>
  <c r="F19" i="2"/>
  <c r="BU19" i="2" s="1"/>
  <c r="E19" i="2"/>
  <c r="BI19" i="2" s="1"/>
  <c r="AR18" i="2"/>
  <c r="AM18" i="2"/>
  <c r="AJ18" i="2"/>
  <c r="AG18" i="2"/>
  <c r="AD18" i="2"/>
  <c r="AA18" i="2"/>
  <c r="X18" i="2"/>
  <c r="U18" i="2"/>
  <c r="R18" i="2"/>
  <c r="O18" i="2"/>
  <c r="L18" i="2"/>
  <c r="I18" i="2"/>
  <c r="F18" i="2"/>
  <c r="BU18" i="2" s="1"/>
  <c r="E18" i="2"/>
  <c r="BI18" i="2" s="1"/>
  <c r="AR17" i="2"/>
  <c r="AM17" i="2"/>
  <c r="AL17" i="2"/>
  <c r="AL45" i="2" s="1"/>
  <c r="AL46" i="2" s="1"/>
  <c r="AJ17" i="2"/>
  <c r="AI17" i="2"/>
  <c r="AI45" i="2" s="1"/>
  <c r="AI46" i="2" s="1"/>
  <c r="AG17" i="2"/>
  <c r="AF17" i="2"/>
  <c r="AF45" i="2" s="1"/>
  <c r="AF46" i="2" s="1"/>
  <c r="AD17" i="2"/>
  <c r="AC17" i="2"/>
  <c r="AC45" i="2" s="1"/>
  <c r="AC46" i="2" s="1"/>
  <c r="AA17" i="2"/>
  <c r="Z17" i="2"/>
  <c r="Z45" i="2" s="1"/>
  <c r="Z46" i="2" s="1"/>
  <c r="X17" i="2"/>
  <c r="W17" i="2"/>
  <c r="W45" i="2" s="1"/>
  <c r="W46" i="2" s="1"/>
  <c r="U17" i="2"/>
  <c r="T17" i="2"/>
  <c r="T45" i="2" s="1"/>
  <c r="T46" i="2" s="1"/>
  <c r="R17" i="2"/>
  <c r="Q17" i="2"/>
  <c r="Q45" i="2" s="1"/>
  <c r="Q46" i="2" s="1"/>
  <c r="O17" i="2"/>
  <c r="P17" i="2" s="1"/>
  <c r="N17" i="2"/>
  <c r="N45" i="2" s="1"/>
  <c r="N46" i="2" s="1"/>
  <c r="L17" i="2"/>
  <c r="K17" i="2"/>
  <c r="K45" i="2" s="1"/>
  <c r="K46" i="2" s="1"/>
  <c r="I17" i="2"/>
  <c r="H17" i="2"/>
  <c r="H45" i="2" s="1"/>
  <c r="H46" i="2" s="1"/>
  <c r="F17" i="2"/>
  <c r="BU17" i="2" s="1"/>
  <c r="E17" i="2"/>
  <c r="E45" i="2" s="1"/>
  <c r="E46" i="2" s="1"/>
  <c r="AO16" i="2"/>
  <c r="AN16" i="2"/>
  <c r="AK16" i="2"/>
  <c r="AH16" i="2"/>
  <c r="AE16" i="2"/>
  <c r="AB16" i="2"/>
  <c r="Y16" i="2"/>
  <c r="V16" i="2"/>
  <c r="S16" i="2"/>
  <c r="P16" i="2"/>
  <c r="M16" i="2"/>
  <c r="J16" i="2"/>
  <c r="G16" i="2"/>
  <c r="AR15" i="2"/>
  <c r="W15" i="2"/>
  <c r="BU14" i="2"/>
  <c r="BI14" i="2"/>
  <c r="BJ14" i="2" s="1"/>
  <c r="BK14" i="2" s="1"/>
  <c r="BL14" i="2" s="1"/>
  <c r="BM14" i="2" s="1"/>
  <c r="BN14" i="2" s="1"/>
  <c r="BO14" i="2" s="1"/>
  <c r="BP14" i="2" s="1"/>
  <c r="BQ14" i="2" s="1"/>
  <c r="BR14" i="2" s="1"/>
  <c r="BS14" i="2" s="1"/>
  <c r="BT14" i="2" s="1"/>
  <c r="BH14" i="2"/>
  <c r="BG14" i="2"/>
  <c r="BF14" i="2"/>
  <c r="BE14" i="2"/>
  <c r="BD14" i="2"/>
  <c r="BC14" i="2"/>
  <c r="BB14" i="2"/>
  <c r="BA14" i="2"/>
  <c r="AZ14" i="2"/>
  <c r="AY14" i="2"/>
  <c r="AX14" i="2"/>
  <c r="AW14" i="2"/>
  <c r="AU14" i="2"/>
  <c r="AV14" i="2" s="1"/>
  <c r="AR14" i="2"/>
  <c r="AN14" i="2"/>
  <c r="AK14" i="2"/>
  <c r="AH14" i="2"/>
  <c r="AE14" i="2"/>
  <c r="AB14" i="2"/>
  <c r="Y14" i="2"/>
  <c r="V14" i="2"/>
  <c r="S14" i="2"/>
  <c r="P14" i="2"/>
  <c r="M14" i="2"/>
  <c r="J14" i="2"/>
  <c r="G14" i="2"/>
  <c r="BU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R13" i="2"/>
  <c r="AN13" i="2"/>
  <c r="AK13" i="2"/>
  <c r="AH13" i="2"/>
  <c r="AE13" i="2"/>
  <c r="AB13" i="2"/>
  <c r="Y13" i="2"/>
  <c r="V13" i="2"/>
  <c r="S13" i="2"/>
  <c r="P13" i="2"/>
  <c r="M13" i="2"/>
  <c r="J13" i="2"/>
  <c r="G13" i="2"/>
  <c r="BU12" i="2"/>
  <c r="BV12" i="2" s="1"/>
  <c r="BW12" i="2" s="1"/>
  <c r="BX12" i="2" s="1"/>
  <c r="BY12" i="2" s="1"/>
  <c r="BZ12" i="2" s="1"/>
  <c r="CA12" i="2" s="1"/>
  <c r="CB12" i="2" s="1"/>
  <c r="CC12" i="2" s="1"/>
  <c r="CD12" i="2" s="1"/>
  <c r="CE12" i="2" s="1"/>
  <c r="CF12" i="2" s="1"/>
  <c r="BI12" i="2"/>
  <c r="BJ12" i="2" s="1"/>
  <c r="BK12" i="2" s="1"/>
  <c r="BL12" i="2" s="1"/>
  <c r="BM12" i="2" s="1"/>
  <c r="BN12" i="2" s="1"/>
  <c r="BO12" i="2" s="1"/>
  <c r="BP12" i="2" s="1"/>
  <c r="BQ12" i="2" s="1"/>
  <c r="BR12" i="2" s="1"/>
  <c r="BS12" i="2" s="1"/>
  <c r="BT12" i="2" s="1"/>
  <c r="BH12" i="2"/>
  <c r="BG12" i="2"/>
  <c r="BF12" i="2"/>
  <c r="BE12" i="2"/>
  <c r="BD12" i="2"/>
  <c r="BC12" i="2"/>
  <c r="BB12" i="2"/>
  <c r="BA12" i="2"/>
  <c r="AZ12" i="2"/>
  <c r="AY12" i="2"/>
  <c r="AX12" i="2"/>
  <c r="AW12" i="2"/>
  <c r="AR12" i="2"/>
  <c r="AN12" i="2"/>
  <c r="AK12" i="2"/>
  <c r="AH12" i="2"/>
  <c r="AE12" i="2"/>
  <c r="AB12" i="2"/>
  <c r="Y12" i="2"/>
  <c r="V12" i="2"/>
  <c r="S12" i="2"/>
  <c r="P12" i="2"/>
  <c r="M12" i="2"/>
  <c r="J12" i="2"/>
  <c r="G12" i="2"/>
  <c r="BU11" i="2"/>
  <c r="BI11" i="2"/>
  <c r="BJ11" i="2" s="1"/>
  <c r="BK11" i="2" s="1"/>
  <c r="BL11" i="2" s="1"/>
  <c r="BM11" i="2" s="1"/>
  <c r="BN11" i="2" s="1"/>
  <c r="BO11" i="2" s="1"/>
  <c r="BP11" i="2" s="1"/>
  <c r="BQ11" i="2" s="1"/>
  <c r="BR11" i="2" s="1"/>
  <c r="BS11" i="2" s="1"/>
  <c r="BT11" i="2" s="1"/>
  <c r="BH11" i="2"/>
  <c r="BG11" i="2"/>
  <c r="BF11" i="2"/>
  <c r="BE11" i="2"/>
  <c r="BD11" i="2"/>
  <c r="BC11" i="2"/>
  <c r="BB11" i="2"/>
  <c r="BA11" i="2"/>
  <c r="AZ11" i="2"/>
  <c r="AY11" i="2"/>
  <c r="AX11" i="2"/>
  <c r="AW11" i="2"/>
  <c r="AU11" i="2" s="1"/>
  <c r="AV11" i="2" s="1"/>
  <c r="AR11" i="2"/>
  <c r="AN11" i="2"/>
  <c r="AK11" i="2"/>
  <c r="AH11" i="2"/>
  <c r="AE11" i="2"/>
  <c r="AB11" i="2"/>
  <c r="Y11" i="2"/>
  <c r="V11" i="2"/>
  <c r="S11" i="2"/>
  <c r="P11" i="2"/>
  <c r="M11" i="2"/>
  <c r="J11" i="2"/>
  <c r="G11" i="2"/>
  <c r="BU10" i="2"/>
  <c r="BI10" i="2"/>
  <c r="BJ10" i="2" s="1"/>
  <c r="BK10" i="2" s="1"/>
  <c r="BL10" i="2" s="1"/>
  <c r="BM10" i="2" s="1"/>
  <c r="BN10" i="2" s="1"/>
  <c r="BO10" i="2" s="1"/>
  <c r="BP10" i="2" s="1"/>
  <c r="BQ10" i="2" s="1"/>
  <c r="BR10" i="2" s="1"/>
  <c r="BS10" i="2" s="1"/>
  <c r="BT10" i="2" s="1"/>
  <c r="BH10" i="2"/>
  <c r="BG10" i="2"/>
  <c r="BF10" i="2"/>
  <c r="BE10" i="2"/>
  <c r="BD10" i="2"/>
  <c r="BC10" i="2"/>
  <c r="BB10" i="2"/>
  <c r="BA10" i="2"/>
  <c r="AZ10" i="2"/>
  <c r="AY10" i="2"/>
  <c r="AX10" i="2"/>
  <c r="AW10" i="2"/>
  <c r="AR10" i="2"/>
  <c r="AN10" i="2"/>
  <c r="AK10" i="2"/>
  <c r="AH10" i="2"/>
  <c r="AE10" i="2"/>
  <c r="AB10" i="2"/>
  <c r="Y10" i="2"/>
  <c r="V10" i="2"/>
  <c r="S10" i="2"/>
  <c r="P10" i="2"/>
  <c r="M10" i="2"/>
  <c r="J10" i="2"/>
  <c r="G10" i="2"/>
  <c r="BV9" i="2"/>
  <c r="BW9" i="2" s="1"/>
  <c r="BX9" i="2" s="1"/>
  <c r="BY9" i="2" s="1"/>
  <c r="BZ9" i="2" s="1"/>
  <c r="CA9" i="2" s="1"/>
  <c r="CB9" i="2" s="1"/>
  <c r="CC9" i="2" s="1"/>
  <c r="CD9" i="2" s="1"/>
  <c r="CE9" i="2" s="1"/>
  <c r="CF9" i="2" s="1"/>
  <c r="BU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U9" i="2" s="1"/>
  <c r="AV9" i="2" s="1"/>
  <c r="AR9" i="2"/>
  <c r="AN9" i="2"/>
  <c r="AK9" i="2"/>
  <c r="AH9" i="2"/>
  <c r="AE9" i="2"/>
  <c r="AB9" i="2"/>
  <c r="Y9" i="2"/>
  <c r="V9" i="2"/>
  <c r="S9" i="2"/>
  <c r="P9" i="2"/>
  <c r="M9" i="2"/>
  <c r="J9" i="2"/>
  <c r="G9" i="2"/>
  <c r="BU8" i="2"/>
  <c r="BV8" i="2" s="1"/>
  <c r="BW8" i="2" s="1"/>
  <c r="BX8" i="2" s="1"/>
  <c r="BY8" i="2" s="1"/>
  <c r="BZ8" i="2" s="1"/>
  <c r="CA8" i="2" s="1"/>
  <c r="CB8" i="2" s="1"/>
  <c r="CC8" i="2" s="1"/>
  <c r="CD8" i="2" s="1"/>
  <c r="CE8" i="2" s="1"/>
  <c r="CF8" i="2" s="1"/>
  <c r="BI8" i="2"/>
  <c r="BJ8" i="2" s="1"/>
  <c r="BK8" i="2" s="1"/>
  <c r="BL8" i="2" s="1"/>
  <c r="BM8" i="2" s="1"/>
  <c r="BN8" i="2" s="1"/>
  <c r="BO8" i="2" s="1"/>
  <c r="BP8" i="2" s="1"/>
  <c r="BQ8" i="2" s="1"/>
  <c r="BR8" i="2" s="1"/>
  <c r="BS8" i="2" s="1"/>
  <c r="BT8" i="2" s="1"/>
  <c r="BH8" i="2"/>
  <c r="BG8" i="2"/>
  <c r="BF8" i="2"/>
  <c r="BE8" i="2"/>
  <c r="BD8" i="2"/>
  <c r="BC8" i="2"/>
  <c r="BB8" i="2"/>
  <c r="AU8" i="2" s="1"/>
  <c r="AV8" i="2" s="1"/>
  <c r="BA8" i="2"/>
  <c r="AZ8" i="2"/>
  <c r="AY8" i="2"/>
  <c r="AX8" i="2"/>
  <c r="AW8" i="2"/>
  <c r="AR8" i="2"/>
  <c r="AN8" i="2"/>
  <c r="AK8" i="2"/>
  <c r="AH8" i="2"/>
  <c r="AE8" i="2"/>
  <c r="AB8" i="2"/>
  <c r="Y8" i="2"/>
  <c r="V8" i="2"/>
  <c r="S8" i="2"/>
  <c r="P8" i="2"/>
  <c r="M8" i="2"/>
  <c r="J8" i="2"/>
  <c r="G8" i="2"/>
  <c r="AT7" i="2"/>
  <c r="AT15" i="2" s="1"/>
  <c r="AR7" i="2"/>
  <c r="AM7" i="2"/>
  <c r="AN7" i="2" s="1"/>
  <c r="AL7" i="2"/>
  <c r="AL15" i="2" s="1"/>
  <c r="AJ7" i="2"/>
  <c r="AJ15" i="2" s="1"/>
  <c r="AI7" i="2"/>
  <c r="AI15" i="2" s="1"/>
  <c r="AG7" i="2"/>
  <c r="AF7" i="2"/>
  <c r="AF15" i="2" s="1"/>
  <c r="AD7" i="2"/>
  <c r="AD15" i="2" s="1"/>
  <c r="AC7" i="2"/>
  <c r="AC15" i="2" s="1"/>
  <c r="AA7" i="2"/>
  <c r="AA15" i="2" s="1"/>
  <c r="AA25" i="2" s="1"/>
  <c r="Z7" i="2"/>
  <c r="Z15" i="2" s="1"/>
  <c r="X7" i="2"/>
  <c r="X15" i="2" s="1"/>
  <c r="W7" i="2"/>
  <c r="U7" i="2"/>
  <c r="T7" i="2"/>
  <c r="T15" i="2" s="1"/>
  <c r="R7" i="2"/>
  <c r="R15" i="2" s="1"/>
  <c r="Q7" i="2"/>
  <c r="Q15" i="2" s="1"/>
  <c r="O7" i="2"/>
  <c r="O15" i="2" s="1"/>
  <c r="O25" i="2" s="1"/>
  <c r="N7" i="2"/>
  <c r="N15" i="2" s="1"/>
  <c r="L7" i="2"/>
  <c r="K7" i="2"/>
  <c r="K15" i="2" s="1"/>
  <c r="I7" i="2"/>
  <c r="H7" i="2"/>
  <c r="H15" i="2" s="1"/>
  <c r="F7" i="2"/>
  <c r="F15" i="2" s="1"/>
  <c r="E7" i="2"/>
  <c r="E15" i="2" s="1"/>
  <c r="BU6" i="2"/>
  <c r="BI6" i="2"/>
  <c r="BJ6" i="2" s="1"/>
  <c r="BK6" i="2" s="1"/>
  <c r="BL6" i="2" s="1"/>
  <c r="BM6" i="2" s="1"/>
  <c r="BN6" i="2" s="1"/>
  <c r="BO6" i="2" s="1"/>
  <c r="BP6" i="2" s="1"/>
  <c r="BQ6" i="2" s="1"/>
  <c r="BR6" i="2" s="1"/>
  <c r="BS6" i="2" s="1"/>
  <c r="BT6" i="2" s="1"/>
  <c r="BH6" i="2"/>
  <c r="BG6" i="2"/>
  <c r="BF6" i="2"/>
  <c r="BE6" i="2"/>
  <c r="BD6" i="2"/>
  <c r="BC6" i="2"/>
  <c r="BB6" i="2"/>
  <c r="BA6" i="2"/>
  <c r="AZ6" i="2"/>
  <c r="AY6" i="2"/>
  <c r="AX6" i="2"/>
  <c r="AW6" i="2"/>
  <c r="AR6" i="2"/>
  <c r="AN6" i="2"/>
  <c r="AK6" i="2"/>
  <c r="AH6" i="2"/>
  <c r="AE6" i="2"/>
  <c r="AB6" i="2"/>
  <c r="Y6" i="2"/>
  <c r="V6" i="2"/>
  <c r="S6" i="2"/>
  <c r="P6" i="2"/>
  <c r="M6" i="2"/>
  <c r="J6" i="2"/>
  <c r="G6" i="2"/>
  <c r="BU5" i="2"/>
  <c r="BV5" i="2" s="1"/>
  <c r="BW5" i="2" s="1"/>
  <c r="BX5" i="2" s="1"/>
  <c r="BY5" i="2" s="1"/>
  <c r="BZ5" i="2" s="1"/>
  <c r="CA5" i="2" s="1"/>
  <c r="CB5" i="2" s="1"/>
  <c r="CC5" i="2" s="1"/>
  <c r="CD5" i="2" s="1"/>
  <c r="CE5" i="2" s="1"/>
  <c r="CF5" i="2" s="1"/>
  <c r="BI5" i="2"/>
  <c r="BJ5" i="2" s="1"/>
  <c r="BK5" i="2" s="1"/>
  <c r="BL5" i="2" s="1"/>
  <c r="BM5" i="2" s="1"/>
  <c r="BN5" i="2" s="1"/>
  <c r="BH5" i="2"/>
  <c r="BG5" i="2"/>
  <c r="BF5" i="2"/>
  <c r="BE5" i="2"/>
  <c r="BD5" i="2"/>
  <c r="BC5" i="2"/>
  <c r="BB5" i="2"/>
  <c r="AU5" i="2" s="1"/>
  <c r="AV5" i="2" s="1"/>
  <c r="BA5" i="2"/>
  <c r="AZ5" i="2"/>
  <c r="AY5" i="2"/>
  <c r="AX5" i="2"/>
  <c r="AW5" i="2"/>
  <c r="AR5" i="2"/>
  <c r="AN5" i="2"/>
  <c r="AK5" i="2"/>
  <c r="AH5" i="2"/>
  <c r="AE5" i="2"/>
  <c r="AB5" i="2"/>
  <c r="Y5" i="2"/>
  <c r="V5" i="2"/>
  <c r="S5" i="2"/>
  <c r="P5" i="2"/>
  <c r="M5" i="2"/>
  <c r="J5" i="2"/>
  <c r="G5" i="2"/>
  <c r="BU4" i="2"/>
  <c r="BV4" i="2" s="1"/>
  <c r="BW4" i="2" s="1"/>
  <c r="BX4" i="2" s="1"/>
  <c r="BY4" i="2" s="1"/>
  <c r="BZ4" i="2" s="1"/>
  <c r="CA4" i="2" s="1"/>
  <c r="CB4" i="2" s="1"/>
  <c r="CC4" i="2" s="1"/>
  <c r="CD4" i="2" s="1"/>
  <c r="CE4" i="2" s="1"/>
  <c r="CF4" i="2" s="1"/>
  <c r="BI4" i="2"/>
  <c r="BH4" i="2"/>
  <c r="BG4" i="2"/>
  <c r="BF4" i="2"/>
  <c r="BE4" i="2"/>
  <c r="BE7" i="2" s="1"/>
  <c r="BE15" i="2" s="1"/>
  <c r="BD4" i="2"/>
  <c r="BC4" i="2"/>
  <c r="BB4" i="2"/>
  <c r="AU4" i="2" s="1"/>
  <c r="BA4" i="2"/>
  <c r="AZ4" i="2"/>
  <c r="AY4" i="2"/>
  <c r="AX4" i="2"/>
  <c r="AW4" i="2"/>
  <c r="AR4" i="2"/>
  <c r="AP4" i="2"/>
  <c r="AN4" i="2"/>
  <c r="AK4" i="2"/>
  <c r="AH4" i="2"/>
  <c r="AE4" i="2"/>
  <c r="AB4" i="2"/>
  <c r="Y4" i="2"/>
  <c r="V4" i="2"/>
  <c r="S4" i="2"/>
  <c r="P4" i="2"/>
  <c r="M4" i="2"/>
  <c r="J4" i="2"/>
  <c r="G4" i="2"/>
  <c r="AY1" i="2"/>
  <c r="AJ36" i="1"/>
  <c r="G5" i="1"/>
  <c r="G6" i="1"/>
  <c r="G8" i="1"/>
  <c r="G9" i="1"/>
  <c r="G10" i="1"/>
  <c r="G11" i="1"/>
  <c r="G12" i="1"/>
  <c r="G13" i="1"/>
  <c r="G14" i="1"/>
  <c r="G4" i="1"/>
  <c r="AL40" i="1"/>
  <c r="AI40" i="1"/>
  <c r="V17" i="3" l="1"/>
  <c r="AE18" i="3"/>
  <c r="P21" i="3"/>
  <c r="AB21" i="3"/>
  <c r="AN21" i="3"/>
  <c r="AK23" i="3"/>
  <c r="L44" i="3"/>
  <c r="AJ44" i="3"/>
  <c r="AF18" i="2"/>
  <c r="AE21" i="2"/>
  <c r="Y22" i="2"/>
  <c r="T18" i="2"/>
  <c r="P23" i="3"/>
  <c r="S22" i="2"/>
  <c r="Y20" i="2"/>
  <c r="AU7" i="3"/>
  <c r="AU15" i="3" s="1"/>
  <c r="AD25" i="2"/>
  <c r="AO11" i="2"/>
  <c r="W18" i="2"/>
  <c r="Y17" i="3"/>
  <c r="BG17" i="3"/>
  <c r="J18" i="3"/>
  <c r="BF18" i="3"/>
  <c r="AW20" i="3"/>
  <c r="G21" i="3"/>
  <c r="S21" i="3"/>
  <c r="AE21" i="3"/>
  <c r="AN23" i="3"/>
  <c r="X44" i="2"/>
  <c r="BC7" i="2"/>
  <c r="BC15" i="2" s="1"/>
  <c r="BG7" i="2"/>
  <c r="BG15" i="2" s="1"/>
  <c r="BD7" i="2"/>
  <c r="BD15" i="2" s="1"/>
  <c r="AI18" i="2"/>
  <c r="M20" i="3"/>
  <c r="Y20" i="3"/>
  <c r="J21" i="3"/>
  <c r="BV23" i="3"/>
  <c r="AP23" i="3" s="1"/>
  <c r="S23" i="3"/>
  <c r="BK19" i="3"/>
  <c r="BL19" i="3" s="1"/>
  <c r="BM19" i="3" s="1"/>
  <c r="BN19" i="3" s="1"/>
  <c r="BO19" i="3" s="1"/>
  <c r="BP19" i="3" s="1"/>
  <c r="BQ19" i="3" s="1"/>
  <c r="BR19" i="3" s="1"/>
  <c r="BS19" i="3" s="1"/>
  <c r="BT19" i="3" s="1"/>
  <c r="Y21" i="3"/>
  <c r="S17" i="3"/>
  <c r="AK18" i="2"/>
  <c r="Y19" i="2"/>
  <c r="AP8" i="2"/>
  <c r="H18" i="2"/>
  <c r="AH22" i="2"/>
  <c r="M23" i="2"/>
  <c r="U44" i="2"/>
  <c r="AW7" i="3"/>
  <c r="AW15" i="3" s="1"/>
  <c r="BE7" i="3"/>
  <c r="BE15" i="3" s="1"/>
  <c r="AK19" i="3"/>
  <c r="G20" i="3"/>
  <c r="T8" i="4"/>
  <c r="T7" i="4"/>
  <c r="BK5" i="3"/>
  <c r="BL5" i="3" s="1"/>
  <c r="BM5" i="3" s="1"/>
  <c r="BN5" i="3" s="1"/>
  <c r="BO5" i="3" s="1"/>
  <c r="BP5" i="3" s="1"/>
  <c r="BQ5" i="3" s="1"/>
  <c r="BR5" i="3" s="1"/>
  <c r="BS5" i="3" s="1"/>
  <c r="BT5" i="3" s="1"/>
  <c r="AO5" i="3"/>
  <c r="AQ5" i="3" s="1"/>
  <c r="BO5" i="2"/>
  <c r="BP5" i="2" s="1"/>
  <c r="BQ5" i="2" s="1"/>
  <c r="BR5" i="2" s="1"/>
  <c r="BS5" i="2" s="1"/>
  <c r="BT5" i="2" s="1"/>
  <c r="AO5" i="2"/>
  <c r="AO11" i="3"/>
  <c r="BK11" i="3"/>
  <c r="BL11" i="3" s="1"/>
  <c r="BM11" i="3" s="1"/>
  <c r="BN11" i="3" s="1"/>
  <c r="BO11" i="3" s="1"/>
  <c r="BP11" i="3" s="1"/>
  <c r="BQ11" i="3" s="1"/>
  <c r="BR11" i="3" s="1"/>
  <c r="BS11" i="3" s="1"/>
  <c r="BT11" i="3" s="1"/>
  <c r="Q25" i="2"/>
  <c r="AH18" i="2"/>
  <c r="R25" i="2"/>
  <c r="S25" i="2" s="1"/>
  <c r="S17" i="2"/>
  <c r="AE17" i="2"/>
  <c r="AE19" i="2"/>
  <c r="N21" i="2"/>
  <c r="F44" i="2"/>
  <c r="E15" i="3"/>
  <c r="BI15" i="3" s="1"/>
  <c r="BJ15" i="3" s="1"/>
  <c r="BK15" i="3" s="1"/>
  <c r="BL15" i="3" s="1"/>
  <c r="BM15" i="3" s="1"/>
  <c r="BJ21" i="3"/>
  <c r="AC25" i="2"/>
  <c r="AE25" i="2" s="1"/>
  <c r="AP12" i="2"/>
  <c r="S18" i="2"/>
  <c r="G19" i="2"/>
  <c r="AW7" i="2"/>
  <c r="AW15" i="2" s="1"/>
  <c r="AU10" i="2"/>
  <c r="AV10" i="2" s="1"/>
  <c r="AB21" i="2"/>
  <c r="I44" i="2"/>
  <c r="AK7" i="3"/>
  <c r="AK15" i="3" s="1"/>
  <c r="CD21" i="3"/>
  <c r="CE21" i="3" s="1"/>
  <c r="CF21" i="3" s="1"/>
  <c r="AN15" i="2"/>
  <c r="AU6" i="2"/>
  <c r="AV6" i="2" s="1"/>
  <c r="AF25" i="2"/>
  <c r="AU12" i="2"/>
  <c r="AV12" i="2" s="1"/>
  <c r="AB20" i="2"/>
  <c r="AG44" i="2"/>
  <c r="AY7" i="2"/>
  <c r="AY15" i="2" s="1"/>
  <c r="V7" i="2"/>
  <c r="AH7" i="2"/>
  <c r="BU7" i="2"/>
  <c r="AP9" i="2"/>
  <c r="AH17" i="2"/>
  <c r="Z18" i="2"/>
  <c r="AB18" i="2" s="1"/>
  <c r="AH19" i="2"/>
  <c r="G22" i="2"/>
  <c r="J23" i="2"/>
  <c r="L44" i="2"/>
  <c r="AJ44" i="2"/>
  <c r="R25" i="3"/>
  <c r="T15" i="3"/>
  <c r="V22" i="3"/>
  <c r="G23" i="3"/>
  <c r="AB23" i="3"/>
  <c r="F44" i="3"/>
  <c r="AD44" i="3"/>
  <c r="AK20" i="2"/>
  <c r="BB15" i="3"/>
  <c r="M15" i="3"/>
  <c r="BF17" i="3"/>
  <c r="M18" i="3"/>
  <c r="AB19" i="3"/>
  <c r="J23" i="3"/>
  <c r="AM15" i="2"/>
  <c r="AM25" i="2" s="1"/>
  <c r="Y21" i="2"/>
  <c r="X25" i="2"/>
  <c r="AJ25" i="2"/>
  <c r="AU13" i="2"/>
  <c r="AV13" i="2" s="1"/>
  <c r="AK19" i="2"/>
  <c r="V20" i="2"/>
  <c r="Y23" i="2"/>
  <c r="BC7" i="3"/>
  <c r="BC15" i="3" s="1"/>
  <c r="AE7" i="3"/>
  <c r="AE15" i="3" s="1"/>
  <c r="AN7" i="3"/>
  <c r="AN15" i="3" s="1"/>
  <c r="M17" i="3"/>
  <c r="G19" i="3"/>
  <c r="AB20" i="3"/>
  <c r="BD21" i="3"/>
  <c r="AV4" i="3"/>
  <c r="BD7" i="3"/>
  <c r="BD15" i="3" s="1"/>
  <c r="AY15" i="3"/>
  <c r="BG15" i="3"/>
  <c r="AP8" i="3"/>
  <c r="BI17" i="3"/>
  <c r="BJ17" i="3" s="1"/>
  <c r="AH23" i="3"/>
  <c r="AP21" i="3"/>
  <c r="R44" i="3"/>
  <c r="BJ18" i="3"/>
  <c r="BK18" i="3" s="1"/>
  <c r="BL18" i="3" s="1"/>
  <c r="BM18" i="3" s="1"/>
  <c r="J19" i="3"/>
  <c r="J20" i="3"/>
  <c r="AN20" i="3"/>
  <c r="V21" i="3"/>
  <c r="U44" i="3"/>
  <c r="BW20" i="3"/>
  <c r="BX20" i="3" s="1"/>
  <c r="BY20" i="3" s="1"/>
  <c r="BZ20" i="3" s="1"/>
  <c r="CA20" i="3" s="1"/>
  <c r="CB20" i="3" s="1"/>
  <c r="CC20" i="3" s="1"/>
  <c r="CD20" i="3" s="1"/>
  <c r="CE20" i="3" s="1"/>
  <c r="CF20" i="3" s="1"/>
  <c r="AP20" i="3"/>
  <c r="AO14" i="3"/>
  <c r="BK14" i="3"/>
  <c r="BL14" i="3" s="1"/>
  <c r="BM14" i="3" s="1"/>
  <c r="BN14" i="3" s="1"/>
  <c r="BO14" i="3" s="1"/>
  <c r="BP14" i="3" s="1"/>
  <c r="BQ14" i="3" s="1"/>
  <c r="BR14" i="3" s="1"/>
  <c r="BS14" i="3" s="1"/>
  <c r="BT14" i="3" s="1"/>
  <c r="AO4" i="3"/>
  <c r="BK4" i="3"/>
  <c r="BL4" i="3" s="1"/>
  <c r="BM4" i="3" s="1"/>
  <c r="BN4" i="3" s="1"/>
  <c r="BO4" i="3" s="1"/>
  <c r="BP4" i="3" s="1"/>
  <c r="BQ4" i="3" s="1"/>
  <c r="BR4" i="3" s="1"/>
  <c r="BS4" i="3" s="1"/>
  <c r="BT4" i="3" s="1"/>
  <c r="AD25" i="3"/>
  <c r="AE25" i="3" s="1"/>
  <c r="BK9" i="3"/>
  <c r="BL9" i="3" s="1"/>
  <c r="BM9" i="3" s="1"/>
  <c r="BN9" i="3" s="1"/>
  <c r="BO9" i="3" s="1"/>
  <c r="BP9" i="3" s="1"/>
  <c r="BQ9" i="3" s="1"/>
  <c r="BR9" i="3" s="1"/>
  <c r="BS9" i="3" s="1"/>
  <c r="BT9" i="3" s="1"/>
  <c r="AO9" i="3"/>
  <c r="AP12" i="3"/>
  <c r="AQ12" i="3" s="1"/>
  <c r="AP14" i="3"/>
  <c r="AQ14" i="3" s="1"/>
  <c r="BK7" i="3"/>
  <c r="BL7" i="3" s="1"/>
  <c r="BM7" i="3" s="1"/>
  <c r="BN7" i="3" s="1"/>
  <c r="BO7" i="3" s="1"/>
  <c r="BP7" i="3" s="1"/>
  <c r="BQ7" i="3" s="1"/>
  <c r="BR7" i="3" s="1"/>
  <c r="BS7" i="3" s="1"/>
  <c r="BT7" i="3" s="1"/>
  <c r="AO7" i="3"/>
  <c r="AV7" i="3"/>
  <c r="AV15" i="3" s="1"/>
  <c r="BF7" i="3"/>
  <c r="BF15" i="3" s="1"/>
  <c r="BW5" i="3"/>
  <c r="BX5" i="3" s="1"/>
  <c r="BY5" i="3" s="1"/>
  <c r="BZ5" i="3" s="1"/>
  <c r="CA5" i="3" s="1"/>
  <c r="CB5" i="3" s="1"/>
  <c r="CC5" i="3" s="1"/>
  <c r="CD5" i="3" s="1"/>
  <c r="CE5" i="3" s="1"/>
  <c r="CF5" i="3" s="1"/>
  <c r="AP6" i="3"/>
  <c r="AO10" i="3"/>
  <c r="AQ10" i="3" s="1"/>
  <c r="BK10" i="3"/>
  <c r="BL10" i="3" s="1"/>
  <c r="BM10" i="3" s="1"/>
  <c r="BN10" i="3" s="1"/>
  <c r="BO10" i="3" s="1"/>
  <c r="BP10" i="3" s="1"/>
  <c r="BQ10" i="3" s="1"/>
  <c r="BR10" i="3" s="1"/>
  <c r="BS10" i="3" s="1"/>
  <c r="BT10" i="3" s="1"/>
  <c r="BH18" i="3"/>
  <c r="AN18" i="3"/>
  <c r="V15" i="3"/>
  <c r="BK6" i="3"/>
  <c r="BL6" i="3" s="1"/>
  <c r="BM6" i="3" s="1"/>
  <c r="BN6" i="3" s="1"/>
  <c r="BO6" i="3" s="1"/>
  <c r="BP6" i="3" s="1"/>
  <c r="BQ6" i="3" s="1"/>
  <c r="BR6" i="3" s="1"/>
  <c r="BS6" i="3" s="1"/>
  <c r="BT6" i="3" s="1"/>
  <c r="AO6" i="3"/>
  <c r="AP4" i="3"/>
  <c r="BW4" i="3"/>
  <c r="BX4" i="3" s="1"/>
  <c r="BY4" i="3" s="1"/>
  <c r="BZ4" i="3" s="1"/>
  <c r="CA4" i="3" s="1"/>
  <c r="CB4" i="3" s="1"/>
  <c r="CC4" i="3" s="1"/>
  <c r="CD4" i="3" s="1"/>
  <c r="CE4" i="3" s="1"/>
  <c r="CF4" i="3" s="1"/>
  <c r="BU7" i="3"/>
  <c r="BV7" i="3" s="1"/>
  <c r="F15" i="3"/>
  <c r="O15" i="3"/>
  <c r="O25" i="3" s="1"/>
  <c r="P7" i="3"/>
  <c r="P15" i="3" s="1"/>
  <c r="BK13" i="3"/>
  <c r="BL13" i="3" s="1"/>
  <c r="BM13" i="3" s="1"/>
  <c r="BN13" i="3" s="1"/>
  <c r="BO13" i="3" s="1"/>
  <c r="BP13" i="3" s="1"/>
  <c r="BQ13" i="3" s="1"/>
  <c r="BR13" i="3" s="1"/>
  <c r="BS13" i="3" s="1"/>
  <c r="BT13" i="3" s="1"/>
  <c r="AO13" i="3"/>
  <c r="AF45" i="3"/>
  <c r="AF46" i="3" s="1"/>
  <c r="BA17" i="3"/>
  <c r="AZ17" i="3"/>
  <c r="AP17" i="3"/>
  <c r="BF20" i="3"/>
  <c r="BE20" i="3"/>
  <c r="P20" i="3"/>
  <c r="BK8" i="3"/>
  <c r="BL8" i="3" s="1"/>
  <c r="BM8" i="3" s="1"/>
  <c r="BN8" i="3" s="1"/>
  <c r="BO8" i="3" s="1"/>
  <c r="BP8" i="3" s="1"/>
  <c r="BQ8" i="3" s="1"/>
  <c r="BR8" i="3" s="1"/>
  <c r="BS8" i="3" s="1"/>
  <c r="BT8" i="3" s="1"/>
  <c r="AO8" i="3"/>
  <c r="BD18" i="3"/>
  <c r="BB18" i="3"/>
  <c r="BC18" i="3"/>
  <c r="BG18" i="3"/>
  <c r="G7" i="3"/>
  <c r="G15" i="3" s="1"/>
  <c r="AX7" i="3"/>
  <c r="AX15" i="3" s="1"/>
  <c r="BH17" i="3"/>
  <c r="AH17" i="3"/>
  <c r="BE18" i="3"/>
  <c r="AP19" i="3"/>
  <c r="AQ19" i="3" s="1"/>
  <c r="BW19" i="3"/>
  <c r="BX19" i="3" s="1"/>
  <c r="BY19" i="3" s="1"/>
  <c r="BZ19" i="3" s="1"/>
  <c r="CA19" i="3" s="1"/>
  <c r="CB19" i="3" s="1"/>
  <c r="CC19" i="3" s="1"/>
  <c r="CD19" i="3" s="1"/>
  <c r="CE19" i="3" s="1"/>
  <c r="CF19" i="3" s="1"/>
  <c r="AP11" i="3"/>
  <c r="AQ11" i="3" s="1"/>
  <c r="BW11" i="3"/>
  <c r="BX11" i="3" s="1"/>
  <c r="BY11" i="3" s="1"/>
  <c r="BZ11" i="3" s="1"/>
  <c r="CA11" i="3" s="1"/>
  <c r="CB11" i="3" s="1"/>
  <c r="CC11" i="3" s="1"/>
  <c r="CD11" i="3" s="1"/>
  <c r="CE11" i="3" s="1"/>
  <c r="CF11" i="3" s="1"/>
  <c r="E37" i="3"/>
  <c r="U25" i="3"/>
  <c r="AO18" i="3"/>
  <c r="BB19" i="3"/>
  <c r="AZ19" i="3"/>
  <c r="BG19" i="3"/>
  <c r="AY19" i="3"/>
  <c r="BF19" i="3"/>
  <c r="BE19" i="3"/>
  <c r="BD19" i="3"/>
  <c r="BC20" i="3"/>
  <c r="BK21" i="3"/>
  <c r="BL21" i="3" s="1"/>
  <c r="BM21" i="3" s="1"/>
  <c r="BN21" i="3" s="1"/>
  <c r="BO21" i="3" s="1"/>
  <c r="BP21" i="3" s="1"/>
  <c r="BQ21" i="3" s="1"/>
  <c r="BR21" i="3" s="1"/>
  <c r="BS21" i="3" s="1"/>
  <c r="BT21" i="3" s="1"/>
  <c r="AO21" i="3"/>
  <c r="BA23" i="3"/>
  <c r="BG23" i="3"/>
  <c r="AY23" i="3"/>
  <c r="BF23" i="3"/>
  <c r="AX23" i="3"/>
  <c r="AU23" i="3" s="1"/>
  <c r="BB23" i="3"/>
  <c r="BE23" i="3"/>
  <c r="BU18" i="3"/>
  <c r="BV18" i="3" s="1"/>
  <c r="G18" i="3"/>
  <c r="BH19" i="3"/>
  <c r="BH23" i="3"/>
  <c r="AQ24" i="3"/>
  <c r="AW23" i="3"/>
  <c r="AW19" i="3"/>
  <c r="I25" i="3"/>
  <c r="Q25" i="3"/>
  <c r="S25" i="3" s="1"/>
  <c r="Y7" i="3"/>
  <c r="Y15" i="3" s="1"/>
  <c r="AH7" i="3"/>
  <c r="AH15" i="3" s="1"/>
  <c r="AI45" i="3"/>
  <c r="AI46" i="3" s="1"/>
  <c r="BC17" i="3"/>
  <c r="BB17" i="3"/>
  <c r="AX19" i="3"/>
  <c r="AU19" i="3" s="1"/>
  <c r="AV19" i="3" s="1"/>
  <c r="BB21" i="3"/>
  <c r="AZ23" i="3"/>
  <c r="AG25" i="3"/>
  <c r="AH25" i="3" s="1"/>
  <c r="AZ7" i="3"/>
  <c r="AZ15" i="3" s="1"/>
  <c r="BH7" i="3"/>
  <c r="BH15" i="3" s="1"/>
  <c r="J7" i="3"/>
  <c r="J15" i="3" s="1"/>
  <c r="Z25" i="3"/>
  <c r="AK17" i="3"/>
  <c r="AX17" i="3"/>
  <c r="AU17" i="3" s="1"/>
  <c r="AV17" i="3" s="1"/>
  <c r="AH18" i="3"/>
  <c r="BA19" i="3"/>
  <c r="S20" i="3"/>
  <c r="AY20" i="3"/>
  <c r="AE20" i="3"/>
  <c r="AX20" i="3"/>
  <c r="AU20" i="3" s="1"/>
  <c r="AV20" i="3" s="1"/>
  <c r="BG20" i="3"/>
  <c r="M21" i="3"/>
  <c r="BE21" i="3"/>
  <c r="BU22" i="3"/>
  <c r="BV22" i="3" s="1"/>
  <c r="G22" i="3"/>
  <c r="BC23" i="3"/>
  <c r="Y25" i="3"/>
  <c r="BA7" i="3"/>
  <c r="BA15" i="3" s="1"/>
  <c r="S7" i="3"/>
  <c r="S15" i="3" s="1"/>
  <c r="AA15" i="3"/>
  <c r="AA25" i="3" s="1"/>
  <c r="AB7" i="3"/>
  <c r="AB15" i="3" s="1"/>
  <c r="AP9" i="3"/>
  <c r="AQ9" i="3" s="1"/>
  <c r="AP13" i="3"/>
  <c r="AB17" i="3"/>
  <c r="AY17" i="3"/>
  <c r="Y18" i="3"/>
  <c r="BC19" i="3"/>
  <c r="BH20" i="3"/>
  <c r="AW21" i="3"/>
  <c r="BH21" i="3"/>
  <c r="AE22" i="3"/>
  <c r="BD23" i="3"/>
  <c r="AW33" i="3"/>
  <c r="D53" i="3"/>
  <c r="AW34" i="3" s="1"/>
  <c r="BD20" i="3"/>
  <c r="M23" i="3"/>
  <c r="L26" i="3"/>
  <c r="F28" i="3"/>
  <c r="I26" i="3" s="1"/>
  <c r="AX34" i="3"/>
  <c r="T47" i="3"/>
  <c r="AH19" i="3"/>
  <c r="BH22" i="3"/>
  <c r="BW23" i="3"/>
  <c r="BX23" i="3" s="1"/>
  <c r="BY23" i="3" s="1"/>
  <c r="BZ23" i="3" s="1"/>
  <c r="CA23" i="3" s="1"/>
  <c r="CB23" i="3" s="1"/>
  <c r="CC23" i="3" s="1"/>
  <c r="CD23" i="3" s="1"/>
  <c r="CE23" i="3" s="1"/>
  <c r="CF23" i="3" s="1"/>
  <c r="AY34" i="3"/>
  <c r="AC47" i="3"/>
  <c r="BD17" i="3"/>
  <c r="BJ20" i="3"/>
  <c r="AZ20" i="3"/>
  <c r="BF21" i="3"/>
  <c r="AX21" i="3"/>
  <c r="AU21" i="3" s="1"/>
  <c r="AV21" i="3" s="1"/>
  <c r="AZ21" i="3"/>
  <c r="BJ23" i="3"/>
  <c r="T18" i="3"/>
  <c r="BA18" i="3" s="1"/>
  <c r="S34" i="3"/>
  <c r="G17" i="3"/>
  <c r="AL47" i="3"/>
  <c r="AW17" i="3"/>
  <c r="BE17" i="3"/>
  <c r="AB18" i="3"/>
  <c r="AK21" i="3"/>
  <c r="BA21" i="3"/>
  <c r="S22" i="3"/>
  <c r="Y23" i="3"/>
  <c r="AY21" i="3"/>
  <c r="BG21" i="3"/>
  <c r="BA20" i="3"/>
  <c r="BC21" i="3"/>
  <c r="BB20" i="3"/>
  <c r="V34" i="3"/>
  <c r="E48" i="3"/>
  <c r="H48" i="3" s="1"/>
  <c r="BV18" i="2"/>
  <c r="BW18" i="2" s="1"/>
  <c r="BX18" i="2" s="1"/>
  <c r="BY18" i="2" s="1"/>
  <c r="BZ18" i="2" s="1"/>
  <c r="CA18" i="2" s="1"/>
  <c r="CB18" i="2" s="1"/>
  <c r="CC18" i="2" s="1"/>
  <c r="CD18" i="2" s="1"/>
  <c r="CE18" i="2" s="1"/>
  <c r="CF18" i="2" s="1"/>
  <c r="AP18" i="2"/>
  <c r="T47" i="2"/>
  <c r="BV13" i="2"/>
  <c r="BW13" i="2" s="1"/>
  <c r="BX13" i="2" s="1"/>
  <c r="BY13" i="2" s="1"/>
  <c r="BZ13" i="2" s="1"/>
  <c r="CA13" i="2" s="1"/>
  <c r="CB13" i="2" s="1"/>
  <c r="CC13" i="2" s="1"/>
  <c r="CD13" i="2" s="1"/>
  <c r="CE13" i="2" s="1"/>
  <c r="CF13" i="2" s="1"/>
  <c r="AZ7" i="2"/>
  <c r="AZ15" i="2" s="1"/>
  <c r="BH7" i="2"/>
  <c r="BH15" i="2" s="1"/>
  <c r="AX7" i="2"/>
  <c r="AX15" i="2" s="1"/>
  <c r="BF7" i="2"/>
  <c r="BF15" i="2" s="1"/>
  <c r="J7" i="2"/>
  <c r="J15" i="2" s="1"/>
  <c r="T25" i="2"/>
  <c r="AO12" i="2"/>
  <c r="M17" i="2"/>
  <c r="V17" i="2"/>
  <c r="AE18" i="2"/>
  <c r="J19" i="2"/>
  <c r="M20" i="2"/>
  <c r="P21" i="2"/>
  <c r="BH22" i="2"/>
  <c r="V23" i="2"/>
  <c r="AH23" i="2"/>
  <c r="P7" i="2"/>
  <c r="P15" i="2" s="1"/>
  <c r="BA7" i="2"/>
  <c r="BA15" i="2" s="1"/>
  <c r="V15" i="2"/>
  <c r="AO6" i="2"/>
  <c r="AH15" i="2"/>
  <c r="BB7" i="2"/>
  <c r="BB15" i="2" s="1"/>
  <c r="M7" i="2"/>
  <c r="M15" i="2" s="1"/>
  <c r="AO8" i="2"/>
  <c r="AQ8" i="2" s="1"/>
  <c r="Y17" i="2"/>
  <c r="BG17" i="2"/>
  <c r="G18" i="2"/>
  <c r="P20" i="2"/>
  <c r="G21" i="2"/>
  <c r="AB22" i="2"/>
  <c r="BI22" i="2"/>
  <c r="BJ18" i="2"/>
  <c r="BJ21" i="2"/>
  <c r="R44" i="2"/>
  <c r="AB17" i="2"/>
  <c r="BH17" i="2"/>
  <c r="J18" i="2"/>
  <c r="G20" i="2"/>
  <c r="S20" i="2"/>
  <c r="BD20" i="2"/>
  <c r="J21" i="2"/>
  <c r="V21" i="2"/>
  <c r="AB23" i="2"/>
  <c r="BA23" i="2"/>
  <c r="AA44" i="2"/>
  <c r="AN17" i="2"/>
  <c r="K18" i="2"/>
  <c r="M18" i="2" s="1"/>
  <c r="Y18" i="2"/>
  <c r="K21" i="2"/>
  <c r="V22" i="2"/>
  <c r="BB23" i="2"/>
  <c r="BH23" i="2"/>
  <c r="AO10" i="2"/>
  <c r="J17" i="2"/>
  <c r="AW19" i="2"/>
  <c r="AU19" i="2" s="1"/>
  <c r="AV19" i="2" s="1"/>
  <c r="M21" i="2"/>
  <c r="W25" i="2"/>
  <c r="AO47" i="2"/>
  <c r="BI17" i="2"/>
  <c r="BH18" i="2"/>
  <c r="BJ23" i="2"/>
  <c r="BK23" i="2" s="1"/>
  <c r="BL23" i="2" s="1"/>
  <c r="BM23" i="2" s="1"/>
  <c r="BN23" i="2" s="1"/>
  <c r="BO23" i="2" s="1"/>
  <c r="BP23" i="2" s="1"/>
  <c r="AD44" i="2"/>
  <c r="BV17" i="2"/>
  <c r="BW17" i="2" s="1"/>
  <c r="BX17" i="2" s="1"/>
  <c r="BY17" i="2" s="1"/>
  <c r="BZ17" i="2" s="1"/>
  <c r="CA17" i="2" s="1"/>
  <c r="CB17" i="2" s="1"/>
  <c r="CC17" i="2" s="1"/>
  <c r="CD17" i="2" s="1"/>
  <c r="CE17" i="2" s="1"/>
  <c r="CF17" i="2" s="1"/>
  <c r="E37" i="2"/>
  <c r="BI15" i="2"/>
  <c r="BJ15" i="2" s="1"/>
  <c r="BK15" i="2" s="1"/>
  <c r="BL15" i="2" s="1"/>
  <c r="BM15" i="2" s="1"/>
  <c r="BN15" i="2" s="1"/>
  <c r="BO15" i="2" s="1"/>
  <c r="BP15" i="2" s="1"/>
  <c r="BQ15" i="2" s="1"/>
  <c r="BR15" i="2" s="1"/>
  <c r="BS15" i="2" s="1"/>
  <c r="BT15" i="2" s="1"/>
  <c r="E25" i="2"/>
  <c r="E52" i="2" s="1"/>
  <c r="F25" i="2"/>
  <c r="BU15" i="2"/>
  <c r="AP23" i="2"/>
  <c r="BV23" i="2"/>
  <c r="BW23" i="2" s="1"/>
  <c r="BX23" i="2" s="1"/>
  <c r="BY23" i="2" s="1"/>
  <c r="BZ23" i="2" s="1"/>
  <c r="CA23" i="2" s="1"/>
  <c r="CB23" i="2" s="1"/>
  <c r="CC23" i="2" s="1"/>
  <c r="CD23" i="2" s="1"/>
  <c r="CE23" i="2" s="1"/>
  <c r="CF23" i="2" s="1"/>
  <c r="AW33" i="2"/>
  <c r="D53" i="2"/>
  <c r="AW34" i="2" s="1"/>
  <c r="Y7" i="2"/>
  <c r="Y15" i="2" s="1"/>
  <c r="BV7" i="2"/>
  <c r="BW7" i="2" s="1"/>
  <c r="BX7" i="2" s="1"/>
  <c r="BY7" i="2" s="1"/>
  <c r="BZ7" i="2" s="1"/>
  <c r="CA7" i="2" s="1"/>
  <c r="CB7" i="2" s="1"/>
  <c r="CC7" i="2" s="1"/>
  <c r="CD7" i="2" s="1"/>
  <c r="CE7" i="2" s="1"/>
  <c r="CF7" i="2" s="1"/>
  <c r="BJ9" i="2"/>
  <c r="BK9" i="2" s="1"/>
  <c r="BL9" i="2" s="1"/>
  <c r="BM9" i="2" s="1"/>
  <c r="BN9" i="2" s="1"/>
  <c r="BO9" i="2" s="1"/>
  <c r="BP9" i="2" s="1"/>
  <c r="BQ9" i="2" s="1"/>
  <c r="BR9" i="2" s="1"/>
  <c r="BS9" i="2" s="1"/>
  <c r="BT9" i="2" s="1"/>
  <c r="BV11" i="2"/>
  <c r="BW11" i="2" s="1"/>
  <c r="BX11" i="2" s="1"/>
  <c r="BY11" i="2" s="1"/>
  <c r="BZ11" i="2" s="1"/>
  <c r="CA11" i="2" s="1"/>
  <c r="CB11" i="2" s="1"/>
  <c r="CC11" i="2" s="1"/>
  <c r="CD11" i="2" s="1"/>
  <c r="CE11" i="2" s="1"/>
  <c r="CF11" i="2" s="1"/>
  <c r="BJ13" i="2"/>
  <c r="BK13" i="2" s="1"/>
  <c r="BL13" i="2" s="1"/>
  <c r="BM13" i="2" s="1"/>
  <c r="BN13" i="2" s="1"/>
  <c r="BO13" i="2" s="1"/>
  <c r="BP13" i="2" s="1"/>
  <c r="BQ13" i="2" s="1"/>
  <c r="BR13" i="2" s="1"/>
  <c r="BS13" i="2" s="1"/>
  <c r="BT13" i="2" s="1"/>
  <c r="BB17" i="2"/>
  <c r="BJ17" i="2"/>
  <c r="BK17" i="2" s="1"/>
  <c r="BL17" i="2" s="1"/>
  <c r="BM17" i="2" s="1"/>
  <c r="BN17" i="2" s="1"/>
  <c r="BO17" i="2" s="1"/>
  <c r="BP17" i="2" s="1"/>
  <c r="BQ17" i="2" s="1"/>
  <c r="BR17" i="2" s="1"/>
  <c r="BS17" i="2" s="1"/>
  <c r="BT17" i="2" s="1"/>
  <c r="BB19" i="2"/>
  <c r="BA19" i="2"/>
  <c r="AZ19" i="2"/>
  <c r="BG19" i="2"/>
  <c r="AY19" i="2"/>
  <c r="BF19" i="2"/>
  <c r="AX19" i="2"/>
  <c r="BC19" i="2"/>
  <c r="BV19" i="2"/>
  <c r="BW19" i="2" s="1"/>
  <c r="BX19" i="2" s="1"/>
  <c r="BY19" i="2" s="1"/>
  <c r="BZ19" i="2" s="1"/>
  <c r="CA19" i="2" s="1"/>
  <c r="CB19" i="2" s="1"/>
  <c r="CC19" i="2" s="1"/>
  <c r="CD19" i="2" s="1"/>
  <c r="CE19" i="2" s="1"/>
  <c r="CF19" i="2" s="1"/>
  <c r="J20" i="2"/>
  <c r="BH20" i="2"/>
  <c r="F28" i="2"/>
  <c r="AX34" i="2"/>
  <c r="I15" i="2"/>
  <c r="I25" i="2" s="1"/>
  <c r="AG15" i="2"/>
  <c r="AG25" i="2" s="1"/>
  <c r="AK17" i="2"/>
  <c r="BC17" i="2"/>
  <c r="BH19" i="2"/>
  <c r="AN19" i="2"/>
  <c r="BD19" i="2"/>
  <c r="AN20" i="2"/>
  <c r="BV21" i="2"/>
  <c r="BW21" i="2" s="1"/>
  <c r="BX21" i="2" s="1"/>
  <c r="BY21" i="2" s="1"/>
  <c r="BZ21" i="2" s="1"/>
  <c r="CA21" i="2" s="1"/>
  <c r="CB21" i="2" s="1"/>
  <c r="CC21" i="2" s="1"/>
  <c r="CD21" i="2" s="1"/>
  <c r="CE21" i="2" s="1"/>
  <c r="CF21" i="2" s="1"/>
  <c r="AE23" i="2"/>
  <c r="BA17" i="2"/>
  <c r="BJ4" i="2"/>
  <c r="BK4" i="2" s="1"/>
  <c r="BL4" i="2" s="1"/>
  <c r="BM4" i="2" s="1"/>
  <c r="BN4" i="2" s="1"/>
  <c r="BO4" i="2" s="1"/>
  <c r="BP4" i="2" s="1"/>
  <c r="BQ4" i="2" s="1"/>
  <c r="BR4" i="2" s="1"/>
  <c r="BS4" i="2" s="1"/>
  <c r="BT4" i="2" s="1"/>
  <c r="S7" i="2"/>
  <c r="S15" i="2" s="1"/>
  <c r="BV10" i="2"/>
  <c r="BW10" i="2" s="1"/>
  <c r="BX10" i="2" s="1"/>
  <c r="BY10" i="2" s="1"/>
  <c r="BZ10" i="2" s="1"/>
  <c r="CA10" i="2" s="1"/>
  <c r="CB10" i="2" s="1"/>
  <c r="CC10" i="2" s="1"/>
  <c r="CD10" i="2" s="1"/>
  <c r="CE10" i="2" s="1"/>
  <c r="CF10" i="2" s="1"/>
  <c r="BV14" i="2"/>
  <c r="BW14" i="2" s="1"/>
  <c r="BX14" i="2" s="1"/>
  <c r="BY14" i="2" s="1"/>
  <c r="BZ14" i="2" s="1"/>
  <c r="CA14" i="2" s="1"/>
  <c r="CB14" i="2" s="1"/>
  <c r="CC14" i="2" s="1"/>
  <c r="CD14" i="2" s="1"/>
  <c r="CE14" i="2" s="1"/>
  <c r="CF14" i="2" s="1"/>
  <c r="AC47" i="2"/>
  <c r="BD17" i="2"/>
  <c r="BE19" i="2"/>
  <c r="S21" i="2"/>
  <c r="BV22" i="2"/>
  <c r="BW22" i="2" s="1"/>
  <c r="BX22" i="2" s="1"/>
  <c r="BY22" i="2" s="1"/>
  <c r="BZ22" i="2" s="1"/>
  <c r="CA22" i="2" s="1"/>
  <c r="CB22" i="2" s="1"/>
  <c r="CC22" i="2" s="1"/>
  <c r="CD22" i="2" s="1"/>
  <c r="CE22" i="2" s="1"/>
  <c r="CF22" i="2" s="1"/>
  <c r="N18" i="2"/>
  <c r="P34" i="2"/>
  <c r="AL18" i="2"/>
  <c r="AN18" i="2" s="1"/>
  <c r="AN34" i="2"/>
  <c r="AB7" i="2"/>
  <c r="AB15" i="2" s="1"/>
  <c r="BI7" i="2"/>
  <c r="AO14" i="2"/>
  <c r="G17" i="2"/>
  <c r="AL47" i="2"/>
  <c r="AW17" i="2"/>
  <c r="AU17" i="2" s="1"/>
  <c r="AV17" i="2" s="1"/>
  <c r="BE17" i="2"/>
  <c r="AY20" i="2"/>
  <c r="AX20" i="2"/>
  <c r="AW20" i="2"/>
  <c r="AK7" i="2"/>
  <c r="AK15" i="2" s="1"/>
  <c r="L15" i="2"/>
  <c r="L25" i="2" s="1"/>
  <c r="AX17" i="2"/>
  <c r="BF17" i="2"/>
  <c r="BJ19" i="2"/>
  <c r="BK19" i="2" s="1"/>
  <c r="BL19" i="2" s="1"/>
  <c r="BM19" i="2" s="1"/>
  <c r="BN19" i="2" s="1"/>
  <c r="BO19" i="2" s="1"/>
  <c r="BP19" i="2" s="1"/>
  <c r="BQ19" i="2" s="1"/>
  <c r="BR19" i="2" s="1"/>
  <c r="BS19" i="2" s="1"/>
  <c r="BT19" i="2" s="1"/>
  <c r="BJ20" i="2"/>
  <c r="BK20" i="2" s="1"/>
  <c r="BL20" i="2" s="1"/>
  <c r="BM20" i="2" s="1"/>
  <c r="BN20" i="2" s="1"/>
  <c r="BO20" i="2" s="1"/>
  <c r="BP20" i="2" s="1"/>
  <c r="BQ20" i="2" s="1"/>
  <c r="BR20" i="2" s="1"/>
  <c r="BS20" i="2" s="1"/>
  <c r="BT20" i="2" s="1"/>
  <c r="AO20" i="2"/>
  <c r="AH20" i="2"/>
  <c r="BG20" i="2"/>
  <c r="BF20" i="2"/>
  <c r="BE20" i="2"/>
  <c r="BQ23" i="2"/>
  <c r="BR23" i="2" s="1"/>
  <c r="BS23" i="2" s="1"/>
  <c r="BT23" i="2" s="1"/>
  <c r="AT23" i="2" s="1"/>
  <c r="AT25" i="2" s="1"/>
  <c r="AT28" i="2" s="1"/>
  <c r="BV6" i="2"/>
  <c r="BW6" i="2" s="1"/>
  <c r="BX6" i="2" s="1"/>
  <c r="BY6" i="2" s="1"/>
  <c r="BZ6" i="2" s="1"/>
  <c r="CA6" i="2" s="1"/>
  <c r="CB6" i="2" s="1"/>
  <c r="CC6" i="2" s="1"/>
  <c r="CD6" i="2" s="1"/>
  <c r="CE6" i="2" s="1"/>
  <c r="CF6" i="2" s="1"/>
  <c r="AV4" i="2"/>
  <c r="AP5" i="2"/>
  <c r="AQ5" i="2" s="1"/>
  <c r="U15" i="2"/>
  <c r="U25" i="2" s="1"/>
  <c r="V25" i="2" s="1"/>
  <c r="AY17" i="2"/>
  <c r="V18" i="2"/>
  <c r="BC20" i="2"/>
  <c r="G7" i="2"/>
  <c r="G15" i="2" s="1"/>
  <c r="AE7" i="2"/>
  <c r="AE15" i="2" s="1"/>
  <c r="AZ17" i="2"/>
  <c r="AB19" i="2"/>
  <c r="BV20" i="2"/>
  <c r="BW20" i="2" s="1"/>
  <c r="BX20" i="2" s="1"/>
  <c r="BY20" i="2" s="1"/>
  <c r="BZ20" i="2" s="1"/>
  <c r="CA20" i="2" s="1"/>
  <c r="CB20" i="2" s="1"/>
  <c r="CC20" i="2" s="1"/>
  <c r="CD20" i="2" s="1"/>
  <c r="CE20" i="2" s="1"/>
  <c r="CF20" i="2" s="1"/>
  <c r="BH21" i="2"/>
  <c r="AH21" i="2"/>
  <c r="AB34" i="2"/>
  <c r="AL21" i="2"/>
  <c r="AN21" i="2" s="1"/>
  <c r="AI21" i="2"/>
  <c r="AK21" i="2" s="1"/>
  <c r="AK40" i="2"/>
  <c r="BC23" i="2"/>
  <c r="G23" i="2"/>
  <c r="BD23" i="2"/>
  <c r="AZ20" i="2"/>
  <c r="AN23" i="2"/>
  <c r="AW23" i="2"/>
  <c r="AU23" i="2" s="1"/>
  <c r="BE23" i="2"/>
  <c r="S34" i="2"/>
  <c r="BA20" i="2"/>
  <c r="AX23" i="2"/>
  <c r="BF23" i="2"/>
  <c r="BB20" i="2"/>
  <c r="AY23" i="2"/>
  <c r="BG23" i="2"/>
  <c r="V34" i="2"/>
  <c r="E48" i="2"/>
  <c r="H48" i="2" s="1"/>
  <c r="AZ23" i="2"/>
  <c r="AQ26" i="1"/>
  <c r="J6" i="4" l="1"/>
  <c r="Z25" i="2"/>
  <c r="AB25" i="2" s="1"/>
  <c r="AB25" i="3"/>
  <c r="AO9" i="2"/>
  <c r="AQ9" i="2" s="1"/>
  <c r="AQ12" i="2"/>
  <c r="AP20" i="2"/>
  <c r="AP22" i="2"/>
  <c r="AV7" i="2"/>
  <c r="AV15" i="2" s="1"/>
  <c r="AU7" i="2"/>
  <c r="AU15" i="2" s="1"/>
  <c r="AQ8" i="3"/>
  <c r="AO19" i="2"/>
  <c r="AP19" i="2"/>
  <c r="AH25" i="2"/>
  <c r="AP17" i="2"/>
  <c r="AQ17" i="2" s="1"/>
  <c r="Y25" i="2"/>
  <c r="E25" i="3"/>
  <c r="E52" i="3" s="1"/>
  <c r="AX33" i="3" s="1"/>
  <c r="AP21" i="2"/>
  <c r="AQ21" i="3"/>
  <c r="AX18" i="3"/>
  <c r="AU18" i="3" s="1"/>
  <c r="AV18" i="3" s="1"/>
  <c r="AP14" i="2"/>
  <c r="AQ14" i="2" s="1"/>
  <c r="AP7" i="2"/>
  <c r="AO23" i="2"/>
  <c r="AQ23" i="2" s="1"/>
  <c r="AO17" i="2"/>
  <c r="BN18" i="3"/>
  <c r="BO18" i="3" s="1"/>
  <c r="BP18" i="3" s="1"/>
  <c r="BQ18" i="3" s="1"/>
  <c r="BR18" i="3" s="1"/>
  <c r="BS18" i="3" s="1"/>
  <c r="BT18" i="3" s="1"/>
  <c r="AP13" i="2"/>
  <c r="AP10" i="2"/>
  <c r="AQ10" i="2" s="1"/>
  <c r="AU20" i="2"/>
  <c r="AV20" i="2" s="1"/>
  <c r="AO47" i="3"/>
  <c r="AQ4" i="3"/>
  <c r="AO13" i="2"/>
  <c r="AO4" i="2"/>
  <c r="AQ4" i="2" s="1"/>
  <c r="AP11" i="2"/>
  <c r="AQ11" i="2" s="1"/>
  <c r="AP6" i="2"/>
  <c r="AQ6" i="2" s="1"/>
  <c r="BN15" i="3"/>
  <c r="BO15" i="3" s="1"/>
  <c r="BP15" i="3" s="1"/>
  <c r="BQ15" i="3" s="1"/>
  <c r="BR15" i="3" s="1"/>
  <c r="BS15" i="3" s="1"/>
  <c r="BT15" i="3" s="1"/>
  <c r="AY26" i="3"/>
  <c r="BW18" i="3"/>
  <c r="BX18" i="3" s="1"/>
  <c r="BY18" i="3" s="1"/>
  <c r="BZ18" i="3" s="1"/>
  <c r="CA18" i="3" s="1"/>
  <c r="CB18" i="3" s="1"/>
  <c r="CC18" i="3" s="1"/>
  <c r="CD18" i="3" s="1"/>
  <c r="CE18" i="3" s="1"/>
  <c r="CF18" i="3" s="1"/>
  <c r="AP18" i="3"/>
  <c r="AQ18" i="3" s="1"/>
  <c r="BU15" i="3"/>
  <c r="BV15" i="3" s="1"/>
  <c r="BW15" i="3" s="1"/>
  <c r="BX15" i="3" s="1"/>
  <c r="BY15" i="3" s="1"/>
  <c r="BZ15" i="3" s="1"/>
  <c r="CA15" i="3" s="1"/>
  <c r="CB15" i="3" s="1"/>
  <c r="CC15" i="3" s="1"/>
  <c r="CD15" i="3" s="1"/>
  <c r="CE15" i="3" s="1"/>
  <c r="CF15" i="3" s="1"/>
  <c r="F25" i="3"/>
  <c r="BH25" i="3" s="1"/>
  <c r="AW18" i="3"/>
  <c r="BW7" i="3"/>
  <c r="BX7" i="3" s="1"/>
  <c r="BY7" i="3" s="1"/>
  <c r="BZ7" i="3" s="1"/>
  <c r="CA7" i="3" s="1"/>
  <c r="CB7" i="3" s="1"/>
  <c r="CC7" i="3" s="1"/>
  <c r="CD7" i="3" s="1"/>
  <c r="CE7" i="3" s="1"/>
  <c r="CF7" i="3" s="1"/>
  <c r="AP7" i="3"/>
  <c r="AP15" i="3" s="1"/>
  <c r="AY18" i="3"/>
  <c r="E26" i="3"/>
  <c r="E35" i="3" s="1"/>
  <c r="AQ13" i="3"/>
  <c r="AZ18" i="3"/>
  <c r="AO15" i="3"/>
  <c r="K48" i="3"/>
  <c r="H41" i="3"/>
  <c r="AO23" i="3"/>
  <c r="AQ23" i="3" s="1"/>
  <c r="BK23" i="3"/>
  <c r="BL23" i="3" s="1"/>
  <c r="BM23" i="3" s="1"/>
  <c r="BN23" i="3" s="1"/>
  <c r="BO23" i="3" s="1"/>
  <c r="BP23" i="3" s="1"/>
  <c r="BQ23" i="3" s="1"/>
  <c r="BR23" i="3" s="1"/>
  <c r="BS23" i="3" s="1"/>
  <c r="BT23" i="3" s="1"/>
  <c r="AT23" i="3" s="1"/>
  <c r="AT25" i="3" s="1"/>
  <c r="AT28" i="3" s="1"/>
  <c r="T25" i="3"/>
  <c r="V25" i="3" s="1"/>
  <c r="V18" i="3"/>
  <c r="BK17" i="3"/>
  <c r="BL17" i="3" s="1"/>
  <c r="BM17" i="3" s="1"/>
  <c r="BN17" i="3" s="1"/>
  <c r="BO17" i="3" s="1"/>
  <c r="BP17" i="3" s="1"/>
  <c r="BQ17" i="3" s="1"/>
  <c r="BR17" i="3" s="1"/>
  <c r="BS17" i="3" s="1"/>
  <c r="BT17" i="3" s="1"/>
  <c r="AO17" i="3"/>
  <c r="AQ17" i="3" s="1"/>
  <c r="H37" i="3"/>
  <c r="G37" i="3"/>
  <c r="E43" i="3"/>
  <c r="G43" i="3" s="1"/>
  <c r="AQ6" i="3"/>
  <c r="AO20" i="3"/>
  <c r="AQ20" i="3" s="1"/>
  <c r="BK20" i="3"/>
  <c r="BL20" i="3" s="1"/>
  <c r="BM20" i="3" s="1"/>
  <c r="BN20" i="3" s="1"/>
  <c r="BO20" i="3" s="1"/>
  <c r="BP20" i="3" s="1"/>
  <c r="BQ20" i="3" s="1"/>
  <c r="BR20" i="3" s="1"/>
  <c r="BS20" i="3" s="1"/>
  <c r="BT20" i="3" s="1"/>
  <c r="AX26" i="3"/>
  <c r="I27" i="3"/>
  <c r="AX27" i="3" s="1"/>
  <c r="AU27" i="3" s="1"/>
  <c r="AV27" i="3" s="1"/>
  <c r="AP22" i="3"/>
  <c r="BW22" i="3"/>
  <c r="BX22" i="3" s="1"/>
  <c r="BY22" i="3" s="1"/>
  <c r="BZ22" i="3" s="1"/>
  <c r="CA22" i="3" s="1"/>
  <c r="CB22" i="3" s="1"/>
  <c r="CC22" i="3" s="1"/>
  <c r="CD22" i="3" s="1"/>
  <c r="CE22" i="3" s="1"/>
  <c r="CF22" i="3" s="1"/>
  <c r="BV15" i="2"/>
  <c r="BW15" i="2" s="1"/>
  <c r="BX15" i="2" s="1"/>
  <c r="BY15" i="2" s="1"/>
  <c r="BZ15" i="2" s="1"/>
  <c r="CA15" i="2" s="1"/>
  <c r="CB15" i="2" s="1"/>
  <c r="CC15" i="2" s="1"/>
  <c r="CD15" i="2" s="1"/>
  <c r="CE15" i="2" s="1"/>
  <c r="CF15" i="2" s="1"/>
  <c r="BK18" i="2"/>
  <c r="BL18" i="2" s="1"/>
  <c r="BM18" i="2" s="1"/>
  <c r="BN18" i="2" s="1"/>
  <c r="AQ19" i="2"/>
  <c r="I26" i="2"/>
  <c r="AX26" i="2" s="1"/>
  <c r="P18" i="2"/>
  <c r="BK21" i="2"/>
  <c r="BL21" i="2" s="1"/>
  <c r="BM21" i="2" s="1"/>
  <c r="BN21" i="2" s="1"/>
  <c r="K48" i="2"/>
  <c r="H41" i="2"/>
  <c r="BD18" i="2"/>
  <c r="AY18" i="2"/>
  <c r="BG18" i="2"/>
  <c r="AX18" i="2"/>
  <c r="BF18" i="2"/>
  <c r="AW18" i="2"/>
  <c r="AZ18" i="2"/>
  <c r="BE18" i="2"/>
  <c r="BC18" i="2"/>
  <c r="BB18" i="2"/>
  <c r="BA18" i="2"/>
  <c r="H37" i="2"/>
  <c r="G37" i="2"/>
  <c r="E43" i="2"/>
  <c r="G43" i="2" s="1"/>
  <c r="AX33" i="2"/>
  <c r="E26" i="2"/>
  <c r="E35" i="2" s="1"/>
  <c r="BJ7" i="2"/>
  <c r="BK7" i="2" s="1"/>
  <c r="BL7" i="2" s="1"/>
  <c r="BM7" i="2" s="1"/>
  <c r="BN7" i="2" s="1"/>
  <c r="BO7" i="2" s="1"/>
  <c r="BP7" i="2" s="1"/>
  <c r="BQ7" i="2" s="1"/>
  <c r="BR7" i="2" s="1"/>
  <c r="BS7" i="2" s="1"/>
  <c r="BT7" i="2" s="1"/>
  <c r="AO7" i="2"/>
  <c r="F26" i="2"/>
  <c r="G25" i="2"/>
  <c r="AV23" i="2"/>
  <c r="BF21" i="2"/>
  <c r="AX21" i="2"/>
  <c r="BE21" i="2"/>
  <c r="AW21" i="2"/>
  <c r="BD21" i="2"/>
  <c r="BC21" i="2"/>
  <c r="BB21" i="2"/>
  <c r="BA21" i="2"/>
  <c r="AZ21" i="2"/>
  <c r="BG21" i="2"/>
  <c r="AY21" i="2"/>
  <c r="AQ20" i="2"/>
  <c r="BH25" i="2"/>
  <c r="Z51" i="1"/>
  <c r="AQ7" i="3" l="1"/>
  <c r="AQ15" i="3" s="1"/>
  <c r="AO15" i="2"/>
  <c r="AU18" i="2"/>
  <c r="AV18" i="2" s="1"/>
  <c r="AQ7" i="2"/>
  <c r="BO18" i="2"/>
  <c r="BP18" i="2" s="1"/>
  <c r="BQ18" i="2" s="1"/>
  <c r="BR18" i="2" s="1"/>
  <c r="BS18" i="2" s="1"/>
  <c r="BT18" i="2" s="1"/>
  <c r="AO18" i="2"/>
  <c r="AQ18" i="2" s="1"/>
  <c r="AP15" i="2"/>
  <c r="AP25" i="2" s="1"/>
  <c r="AP28" i="2" s="1"/>
  <c r="AQ13" i="2"/>
  <c r="AQ15" i="2" s="1"/>
  <c r="AU21" i="2"/>
  <c r="AV21" i="2" s="1"/>
  <c r="AV23" i="3"/>
  <c r="BO21" i="2"/>
  <c r="BP21" i="2" s="1"/>
  <c r="BQ21" i="2" s="1"/>
  <c r="BR21" i="2" s="1"/>
  <c r="BS21" i="2" s="1"/>
  <c r="BT21" i="2" s="1"/>
  <c r="AO21" i="2"/>
  <c r="AQ21" i="2" s="1"/>
  <c r="K41" i="3"/>
  <c r="K22" i="3" s="1"/>
  <c r="N48" i="3"/>
  <c r="Q48" i="3" s="1"/>
  <c r="T48" i="3" s="1"/>
  <c r="W48" i="3" s="1"/>
  <c r="Z48" i="3" s="1"/>
  <c r="AC48" i="3" s="1"/>
  <c r="AF48" i="3" s="1"/>
  <c r="AI48" i="3" s="1"/>
  <c r="F26" i="3"/>
  <c r="G25" i="3"/>
  <c r="J37" i="3"/>
  <c r="H43" i="3"/>
  <c r="K37" i="3"/>
  <c r="J41" i="3"/>
  <c r="H22" i="3"/>
  <c r="AP25" i="3"/>
  <c r="E36" i="3"/>
  <c r="G35" i="3"/>
  <c r="G36" i="3" s="1"/>
  <c r="J37" i="2"/>
  <c r="H43" i="2"/>
  <c r="K37" i="2"/>
  <c r="AW26" i="2"/>
  <c r="F27" i="2"/>
  <c r="AW27" i="2" s="1"/>
  <c r="G26" i="2"/>
  <c r="G35" i="2"/>
  <c r="G36" i="2" s="1"/>
  <c r="E36" i="2"/>
  <c r="J41" i="2"/>
  <c r="H22" i="2"/>
  <c r="K41" i="2"/>
  <c r="K22" i="2" s="1"/>
  <c r="N48" i="2"/>
  <c r="Q48" i="2" s="1"/>
  <c r="T48" i="2" s="1"/>
  <c r="W48" i="2" s="1"/>
  <c r="Z48" i="2" s="1"/>
  <c r="AC48" i="2" s="1"/>
  <c r="AF48" i="2" s="1"/>
  <c r="AI48" i="2" s="1"/>
  <c r="Y24" i="1"/>
  <c r="AB24" i="1"/>
  <c r="AE24" i="1"/>
  <c r="AE16" i="1"/>
  <c r="AH24" i="1"/>
  <c r="AH16" i="1"/>
  <c r="AK24" i="1"/>
  <c r="AK16" i="1"/>
  <c r="AN24" i="1"/>
  <c r="AN16" i="1"/>
  <c r="AN14" i="1"/>
  <c r="AN13" i="1"/>
  <c r="AN12" i="1"/>
  <c r="AN11" i="1"/>
  <c r="AN10" i="1"/>
  <c r="AN9" i="1"/>
  <c r="AN8" i="1"/>
  <c r="AN6" i="1"/>
  <c r="AN5" i="1"/>
  <c r="AN4" i="1"/>
  <c r="AK14" i="1"/>
  <c r="AK13" i="1"/>
  <c r="AK12" i="1"/>
  <c r="AK11" i="1"/>
  <c r="AK10" i="1"/>
  <c r="AK9" i="1"/>
  <c r="AK8" i="1"/>
  <c r="AK6" i="1"/>
  <c r="AK5" i="1"/>
  <c r="AK4" i="1"/>
  <c r="AH14" i="1"/>
  <c r="AH13" i="1"/>
  <c r="AH12" i="1"/>
  <c r="AH11" i="1"/>
  <c r="AH10" i="1"/>
  <c r="AH9" i="1"/>
  <c r="AH8" i="1"/>
  <c r="AH6" i="1"/>
  <c r="AH5" i="1"/>
  <c r="AH4" i="1"/>
  <c r="AE14" i="1"/>
  <c r="AE13" i="1"/>
  <c r="AE12" i="1"/>
  <c r="AE11" i="1"/>
  <c r="AE10" i="1"/>
  <c r="AE9" i="1"/>
  <c r="AE8" i="1"/>
  <c r="AE6" i="1"/>
  <c r="AE5" i="1"/>
  <c r="AE4" i="1"/>
  <c r="AB14" i="1"/>
  <c r="AB13" i="1"/>
  <c r="AB12" i="1"/>
  <c r="AB11" i="1"/>
  <c r="AB10" i="1"/>
  <c r="AB9" i="1"/>
  <c r="AB8" i="1"/>
  <c r="AB6" i="1"/>
  <c r="AB5" i="1"/>
  <c r="AB4" i="1"/>
  <c r="Y14" i="1"/>
  <c r="Y13" i="1"/>
  <c r="Y12" i="1"/>
  <c r="Y11" i="1"/>
  <c r="Y10" i="1"/>
  <c r="Y9" i="1"/>
  <c r="Y8" i="1"/>
  <c r="Y6" i="1"/>
  <c r="Y5" i="1"/>
  <c r="Y4" i="1"/>
  <c r="V14" i="1"/>
  <c r="V13" i="1"/>
  <c r="V12" i="1"/>
  <c r="V11" i="1"/>
  <c r="V10" i="1"/>
  <c r="V9" i="1"/>
  <c r="V8" i="1"/>
  <c r="V6" i="1"/>
  <c r="V5" i="1"/>
  <c r="V4" i="1"/>
  <c r="S14" i="1"/>
  <c r="S13" i="1"/>
  <c r="S12" i="1"/>
  <c r="S11" i="1"/>
  <c r="S10" i="1"/>
  <c r="S9" i="1"/>
  <c r="S8" i="1"/>
  <c r="S6" i="1"/>
  <c r="S5" i="1"/>
  <c r="S4" i="1"/>
  <c r="P14" i="1"/>
  <c r="P13" i="1"/>
  <c r="P12" i="1"/>
  <c r="P11" i="1"/>
  <c r="P10" i="1"/>
  <c r="P9" i="1"/>
  <c r="P8" i="1"/>
  <c r="P6" i="1"/>
  <c r="P5" i="1"/>
  <c r="P4" i="1"/>
  <c r="M14" i="1"/>
  <c r="M13" i="1"/>
  <c r="M12" i="1"/>
  <c r="M11" i="1"/>
  <c r="M10" i="1"/>
  <c r="M9" i="1"/>
  <c r="M8" i="1"/>
  <c r="M6" i="1"/>
  <c r="M5" i="1"/>
  <c r="M4" i="1"/>
  <c r="J24" i="1"/>
  <c r="J16" i="1"/>
  <c r="J14" i="1"/>
  <c r="J13" i="1"/>
  <c r="J12" i="1"/>
  <c r="J11" i="1"/>
  <c r="J10" i="1"/>
  <c r="J9" i="1"/>
  <c r="J8" i="1"/>
  <c r="J5" i="1"/>
  <c r="J6" i="1"/>
  <c r="J4" i="1"/>
  <c r="U7" i="1"/>
  <c r="AJ43" i="1"/>
  <c r="BJ22" i="3" l="1"/>
  <c r="J22" i="3"/>
  <c r="H25" i="3"/>
  <c r="AW26" i="3"/>
  <c r="F27" i="3"/>
  <c r="AW27" i="3" s="1"/>
  <c r="G26" i="3"/>
  <c r="AL48" i="3"/>
  <c r="AL41" i="3" s="1"/>
  <c r="AN41" i="3" s="1"/>
  <c r="AN43" i="3" s="1"/>
  <c r="AI41" i="3"/>
  <c r="AP28" i="3"/>
  <c r="M22" i="3"/>
  <c r="K25" i="3"/>
  <c r="K43" i="3"/>
  <c r="N37" i="3"/>
  <c r="M37" i="3"/>
  <c r="M41" i="3"/>
  <c r="N22" i="3"/>
  <c r="M22" i="2"/>
  <c r="K25" i="2"/>
  <c r="M25" i="2" s="1"/>
  <c r="AL48" i="2"/>
  <c r="AL41" i="2" s="1"/>
  <c r="AN41" i="2" s="1"/>
  <c r="AN43" i="2" s="1"/>
  <c r="AI41" i="2"/>
  <c r="K43" i="2"/>
  <c r="N37" i="2"/>
  <c r="M37" i="2"/>
  <c r="N22" i="2"/>
  <c r="M41" i="2"/>
  <c r="J22" i="2"/>
  <c r="H25" i="2"/>
  <c r="BJ22" i="2"/>
  <c r="BK22" i="2" s="1"/>
  <c r="AR15" i="1"/>
  <c r="AT7" i="1"/>
  <c r="AV26" i="1"/>
  <c r="BU5" i="1"/>
  <c r="BV5" i="1" s="1"/>
  <c r="BW5" i="1" s="1"/>
  <c r="BX5" i="1" s="1"/>
  <c r="BY5" i="1" s="1"/>
  <c r="BZ5" i="1" s="1"/>
  <c r="CA5" i="1" s="1"/>
  <c r="CB5" i="1" s="1"/>
  <c r="CC5" i="1" s="1"/>
  <c r="CD5" i="1" s="1"/>
  <c r="CE5" i="1" s="1"/>
  <c r="CF5" i="1" s="1"/>
  <c r="BU6" i="1"/>
  <c r="BV6" i="1" s="1"/>
  <c r="BW6" i="1" s="1"/>
  <c r="BX6" i="1" s="1"/>
  <c r="BY6" i="1" s="1"/>
  <c r="BZ6" i="1" s="1"/>
  <c r="CA6" i="1" s="1"/>
  <c r="CB6" i="1" s="1"/>
  <c r="CC6" i="1" s="1"/>
  <c r="CD6" i="1" s="1"/>
  <c r="CE6" i="1" s="1"/>
  <c r="CF6" i="1" s="1"/>
  <c r="BU8" i="1"/>
  <c r="BV8" i="1" s="1"/>
  <c r="BW8" i="1" s="1"/>
  <c r="BX8" i="1" s="1"/>
  <c r="BY8" i="1" s="1"/>
  <c r="BZ8" i="1" s="1"/>
  <c r="CA8" i="1" s="1"/>
  <c r="CB8" i="1" s="1"/>
  <c r="CC8" i="1" s="1"/>
  <c r="CD8" i="1" s="1"/>
  <c r="CE8" i="1" s="1"/>
  <c r="CF8" i="1" s="1"/>
  <c r="BU9" i="1"/>
  <c r="BV9" i="1" s="1"/>
  <c r="BW9" i="1" s="1"/>
  <c r="BX9" i="1" s="1"/>
  <c r="BY9" i="1" s="1"/>
  <c r="BZ9" i="1" s="1"/>
  <c r="CA9" i="1" s="1"/>
  <c r="CB9" i="1" s="1"/>
  <c r="CC9" i="1" s="1"/>
  <c r="CD9" i="1" s="1"/>
  <c r="CE9" i="1" s="1"/>
  <c r="CF9" i="1" s="1"/>
  <c r="BU10" i="1"/>
  <c r="BV10" i="1" s="1"/>
  <c r="BW10" i="1" s="1"/>
  <c r="BX10" i="1" s="1"/>
  <c r="BY10" i="1" s="1"/>
  <c r="BZ10" i="1" s="1"/>
  <c r="CA10" i="1" s="1"/>
  <c r="CB10" i="1" s="1"/>
  <c r="CC10" i="1" s="1"/>
  <c r="CD10" i="1" s="1"/>
  <c r="CE10" i="1" s="1"/>
  <c r="CF10" i="1" s="1"/>
  <c r="BU11" i="1"/>
  <c r="BV11" i="1" s="1"/>
  <c r="BW11" i="1" s="1"/>
  <c r="BX11" i="1" s="1"/>
  <c r="BY11" i="1" s="1"/>
  <c r="BZ11" i="1" s="1"/>
  <c r="CA11" i="1" s="1"/>
  <c r="CB11" i="1" s="1"/>
  <c r="CC11" i="1" s="1"/>
  <c r="CD11" i="1" s="1"/>
  <c r="CE11" i="1" s="1"/>
  <c r="CF11" i="1" s="1"/>
  <c r="BU12" i="1"/>
  <c r="BV12" i="1" s="1"/>
  <c r="BW12" i="1" s="1"/>
  <c r="BX12" i="1" s="1"/>
  <c r="BY12" i="1" s="1"/>
  <c r="BZ12" i="1" s="1"/>
  <c r="CA12" i="1" s="1"/>
  <c r="CB12" i="1" s="1"/>
  <c r="CC12" i="1" s="1"/>
  <c r="CD12" i="1" s="1"/>
  <c r="CE12" i="1" s="1"/>
  <c r="CF12" i="1" s="1"/>
  <c r="BU13" i="1"/>
  <c r="BV13" i="1" s="1"/>
  <c r="BW13" i="1" s="1"/>
  <c r="BX13" i="1" s="1"/>
  <c r="BY13" i="1" s="1"/>
  <c r="BZ13" i="1" s="1"/>
  <c r="CA13" i="1" s="1"/>
  <c r="CB13" i="1" s="1"/>
  <c r="CC13" i="1" s="1"/>
  <c r="CD13" i="1" s="1"/>
  <c r="CE13" i="1" s="1"/>
  <c r="CF13" i="1" s="1"/>
  <c r="BU14" i="1"/>
  <c r="BV14" i="1" s="1"/>
  <c r="BW14" i="1" s="1"/>
  <c r="BX14" i="1" s="1"/>
  <c r="BY14" i="1" s="1"/>
  <c r="BZ14" i="1" s="1"/>
  <c r="CA14" i="1" s="1"/>
  <c r="CB14" i="1" s="1"/>
  <c r="CC14" i="1" s="1"/>
  <c r="CD14" i="1" s="1"/>
  <c r="CE14" i="1" s="1"/>
  <c r="CF14" i="1" s="1"/>
  <c r="BU4" i="1"/>
  <c r="BV4" i="1" s="1"/>
  <c r="BW4" i="1" s="1"/>
  <c r="BX4" i="1" s="1"/>
  <c r="BY4" i="1" s="1"/>
  <c r="BZ4" i="1" s="1"/>
  <c r="BI5" i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I6" i="1"/>
  <c r="BJ6" i="1" s="1"/>
  <c r="BK6" i="1" s="1"/>
  <c r="BL6" i="1" s="1"/>
  <c r="BM6" i="1" s="1"/>
  <c r="BN6" i="1" s="1"/>
  <c r="BO6" i="1" s="1"/>
  <c r="BP6" i="1" s="1"/>
  <c r="BQ6" i="1" s="1"/>
  <c r="BR6" i="1" s="1"/>
  <c r="BS6" i="1" s="1"/>
  <c r="BT6" i="1" s="1"/>
  <c r="BI8" i="1"/>
  <c r="BJ8" i="1" s="1"/>
  <c r="BK8" i="1" s="1"/>
  <c r="BL8" i="1" s="1"/>
  <c r="BM8" i="1" s="1"/>
  <c r="BN8" i="1" s="1"/>
  <c r="BO8" i="1" s="1"/>
  <c r="BP8" i="1" s="1"/>
  <c r="BQ8" i="1" s="1"/>
  <c r="BR8" i="1" s="1"/>
  <c r="BS8" i="1" s="1"/>
  <c r="BT8" i="1" s="1"/>
  <c r="BI9" i="1"/>
  <c r="BJ9" i="1" s="1"/>
  <c r="BK9" i="1" s="1"/>
  <c r="BL9" i="1" s="1"/>
  <c r="BM9" i="1" s="1"/>
  <c r="BN9" i="1" s="1"/>
  <c r="BO9" i="1" s="1"/>
  <c r="BP9" i="1" s="1"/>
  <c r="BQ9" i="1" s="1"/>
  <c r="BR9" i="1" s="1"/>
  <c r="BS9" i="1" s="1"/>
  <c r="BT9" i="1" s="1"/>
  <c r="BI10" i="1"/>
  <c r="BJ10" i="1" s="1"/>
  <c r="BK10" i="1" s="1"/>
  <c r="BL10" i="1" s="1"/>
  <c r="BM10" i="1" s="1"/>
  <c r="BN10" i="1" s="1"/>
  <c r="BO10" i="1" s="1"/>
  <c r="BP10" i="1" s="1"/>
  <c r="BQ10" i="1" s="1"/>
  <c r="BR10" i="1" s="1"/>
  <c r="BS10" i="1" s="1"/>
  <c r="BT10" i="1" s="1"/>
  <c r="BI11" i="1"/>
  <c r="BJ11" i="1" s="1"/>
  <c r="BK11" i="1" s="1"/>
  <c r="BL11" i="1" s="1"/>
  <c r="BM11" i="1" s="1"/>
  <c r="BN11" i="1" s="1"/>
  <c r="BO11" i="1" s="1"/>
  <c r="BP11" i="1" s="1"/>
  <c r="BQ11" i="1" s="1"/>
  <c r="BR11" i="1" s="1"/>
  <c r="BS11" i="1" s="1"/>
  <c r="BT11" i="1" s="1"/>
  <c r="BI12" i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I13" i="1"/>
  <c r="BJ13" i="1" s="1"/>
  <c r="BK13" i="1" s="1"/>
  <c r="BL13" i="1" s="1"/>
  <c r="BM13" i="1" s="1"/>
  <c r="BN13" i="1" s="1"/>
  <c r="BO13" i="1" s="1"/>
  <c r="BP13" i="1" s="1"/>
  <c r="BQ13" i="1" s="1"/>
  <c r="BR13" i="1" s="1"/>
  <c r="BS13" i="1" s="1"/>
  <c r="BT13" i="1" s="1"/>
  <c r="BI14" i="1"/>
  <c r="BJ14" i="1" s="1"/>
  <c r="BK14" i="1" s="1"/>
  <c r="BL14" i="1" s="1"/>
  <c r="BM14" i="1" s="1"/>
  <c r="BN14" i="1" s="1"/>
  <c r="BO14" i="1" s="1"/>
  <c r="BP14" i="1" s="1"/>
  <c r="BQ14" i="1" s="1"/>
  <c r="BR14" i="1" s="1"/>
  <c r="BS14" i="1" s="1"/>
  <c r="BT14" i="1" s="1"/>
  <c r="BI4" i="1"/>
  <c r="BJ4" i="1" s="1"/>
  <c r="BK4" i="1" s="1"/>
  <c r="BL4" i="1" s="1"/>
  <c r="BM4" i="1" s="1"/>
  <c r="BN4" i="1" s="1"/>
  <c r="AR5" i="1"/>
  <c r="AW5" i="1"/>
  <c r="AX5" i="1"/>
  <c r="AY5" i="1"/>
  <c r="AZ5" i="1"/>
  <c r="BA5" i="1"/>
  <c r="BB5" i="1"/>
  <c r="BC5" i="1"/>
  <c r="BD5" i="1"/>
  <c r="BE5" i="1"/>
  <c r="BF5" i="1"/>
  <c r="BG5" i="1"/>
  <c r="BH5" i="1"/>
  <c r="AR6" i="1"/>
  <c r="AW6" i="1"/>
  <c r="AX6" i="1"/>
  <c r="AY6" i="1"/>
  <c r="AZ6" i="1"/>
  <c r="BA6" i="1"/>
  <c r="BB6" i="1"/>
  <c r="BC6" i="1"/>
  <c r="BD6" i="1"/>
  <c r="BE6" i="1"/>
  <c r="BF6" i="1"/>
  <c r="BG6" i="1"/>
  <c r="BH6" i="1"/>
  <c r="AR7" i="1"/>
  <c r="AR8" i="1"/>
  <c r="AW8" i="1"/>
  <c r="AX8" i="1"/>
  <c r="AY8" i="1"/>
  <c r="AZ8" i="1"/>
  <c r="BA8" i="1"/>
  <c r="BB8" i="1"/>
  <c r="BC8" i="1"/>
  <c r="BD8" i="1"/>
  <c r="BE8" i="1"/>
  <c r="BF8" i="1"/>
  <c r="BG8" i="1"/>
  <c r="BH8" i="1"/>
  <c r="AR9" i="1"/>
  <c r="AW9" i="1"/>
  <c r="AX9" i="1"/>
  <c r="AY9" i="1"/>
  <c r="AZ9" i="1"/>
  <c r="BA9" i="1"/>
  <c r="BB9" i="1"/>
  <c r="BC9" i="1"/>
  <c r="BD9" i="1"/>
  <c r="BE9" i="1"/>
  <c r="BF9" i="1"/>
  <c r="BG9" i="1"/>
  <c r="BH9" i="1"/>
  <c r="AR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AR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AR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J25" i="3" l="1"/>
  <c r="H52" i="3"/>
  <c r="AK41" i="3"/>
  <c r="AI22" i="3"/>
  <c r="AL22" i="3"/>
  <c r="M25" i="3"/>
  <c r="K53" i="3"/>
  <c r="Q37" i="3"/>
  <c r="P37" i="3"/>
  <c r="N43" i="3"/>
  <c r="P22" i="3"/>
  <c r="N25" i="3"/>
  <c r="P25" i="3" s="1"/>
  <c r="AO22" i="3"/>
  <c r="BK22" i="3"/>
  <c r="BL22" i="3" s="1"/>
  <c r="BM22" i="3" s="1"/>
  <c r="BN22" i="3" s="1"/>
  <c r="BO22" i="3" s="1"/>
  <c r="BP22" i="3" s="1"/>
  <c r="BQ22" i="3" s="1"/>
  <c r="BR22" i="3" s="1"/>
  <c r="BS22" i="3" s="1"/>
  <c r="BT22" i="3" s="1"/>
  <c r="AL22" i="2"/>
  <c r="AK41" i="2"/>
  <c r="AI22" i="2"/>
  <c r="Q37" i="2"/>
  <c r="P37" i="2"/>
  <c r="N43" i="2"/>
  <c r="BL22" i="2"/>
  <c r="BM22" i="2" s="1"/>
  <c r="BN22" i="2" s="1"/>
  <c r="P22" i="2"/>
  <c r="N25" i="2"/>
  <c r="P25" i="2" s="1"/>
  <c r="H53" i="2"/>
  <c r="J25" i="2"/>
  <c r="H52" i="2"/>
  <c r="AO11" i="1"/>
  <c r="AU6" i="1"/>
  <c r="AV6" i="1" s="1"/>
  <c r="AU10" i="1"/>
  <c r="AV10" i="1" s="1"/>
  <c r="AU12" i="1"/>
  <c r="AV12" i="1" s="1"/>
  <c r="AU8" i="1"/>
  <c r="AV8" i="1" s="1"/>
  <c r="AU9" i="1"/>
  <c r="AV9" i="1" s="1"/>
  <c r="AU11" i="1"/>
  <c r="AV11" i="1" s="1"/>
  <c r="AU5" i="1"/>
  <c r="AV5" i="1" s="1"/>
  <c r="BO4" i="1"/>
  <c r="BP4" i="1" s="1"/>
  <c r="BQ4" i="1" s="1"/>
  <c r="BR4" i="1" s="1"/>
  <c r="BS4" i="1" s="1"/>
  <c r="BT4" i="1" s="1"/>
  <c r="CA4" i="1"/>
  <c r="CB4" i="1" s="1"/>
  <c r="CC4" i="1" s="1"/>
  <c r="CD4" i="1" s="1"/>
  <c r="CE4" i="1" s="1"/>
  <c r="CF4" i="1" s="1"/>
  <c r="AP13" i="1"/>
  <c r="AP5" i="1"/>
  <c r="AO14" i="1"/>
  <c r="AO10" i="1"/>
  <c r="AO6" i="1"/>
  <c r="AP12" i="1"/>
  <c r="AP8" i="1"/>
  <c r="AP9" i="1"/>
  <c r="AO13" i="1"/>
  <c r="AO9" i="1"/>
  <c r="AO5" i="1"/>
  <c r="AP11" i="1"/>
  <c r="AO12" i="1"/>
  <c r="AO8" i="1"/>
  <c r="AP14" i="1"/>
  <c r="AP10" i="1"/>
  <c r="AP6" i="1"/>
  <c r="BO22" i="2" l="1"/>
  <c r="BP22" i="2" s="1"/>
  <c r="BQ22" i="2" s="1"/>
  <c r="BR22" i="2" s="1"/>
  <c r="BS22" i="2" s="1"/>
  <c r="BT22" i="2" s="1"/>
  <c r="AO22" i="2"/>
  <c r="AO25" i="3"/>
  <c r="AQ22" i="3"/>
  <c r="AZ22" i="3"/>
  <c r="BF22" i="3"/>
  <c r="AX22" i="3"/>
  <c r="AU22" i="3" s="1"/>
  <c r="AN22" i="3"/>
  <c r="BE22" i="3"/>
  <c r="AW22" i="3"/>
  <c r="BA22" i="3"/>
  <c r="BC22" i="3"/>
  <c r="BB22" i="3"/>
  <c r="AY22" i="3"/>
  <c r="BD22" i="3"/>
  <c r="BG22" i="3"/>
  <c r="AL25" i="3"/>
  <c r="N53" i="3"/>
  <c r="AZ34" i="3"/>
  <c r="L28" i="3"/>
  <c r="AI25" i="3"/>
  <c r="AK25" i="3" s="1"/>
  <c r="AK22" i="3"/>
  <c r="K52" i="3"/>
  <c r="AY33" i="3"/>
  <c r="H26" i="3"/>
  <c r="T37" i="3"/>
  <c r="S37" i="3"/>
  <c r="Q43" i="3"/>
  <c r="AQ11" i="1"/>
  <c r="K52" i="2"/>
  <c r="H26" i="2"/>
  <c r="AY33" i="2"/>
  <c r="AK22" i="2"/>
  <c r="AI25" i="2"/>
  <c r="AK25" i="2" s="1"/>
  <c r="T37" i="2"/>
  <c r="S37" i="2"/>
  <c r="Q43" i="2"/>
  <c r="K53" i="2"/>
  <c r="AY34" i="2"/>
  <c r="I28" i="2"/>
  <c r="H28" i="2"/>
  <c r="AZ22" i="2"/>
  <c r="BG22" i="2"/>
  <c r="AY22" i="2"/>
  <c r="BF22" i="2"/>
  <c r="AX22" i="2"/>
  <c r="BE22" i="2"/>
  <c r="AW22" i="2"/>
  <c r="AU22" i="2" s="1"/>
  <c r="BD22" i="2"/>
  <c r="BC22" i="2"/>
  <c r="BB22" i="2"/>
  <c r="BA22" i="2"/>
  <c r="AN22" i="2"/>
  <c r="AL25" i="2"/>
  <c r="AQ10" i="1"/>
  <c r="AO4" i="1"/>
  <c r="AQ6" i="1"/>
  <c r="AQ9" i="1"/>
  <c r="AQ14" i="1"/>
  <c r="AQ8" i="1"/>
  <c r="AQ12" i="1"/>
  <c r="AQ5" i="1"/>
  <c r="AQ13" i="1"/>
  <c r="AP4" i="1"/>
  <c r="AQ4" i="1" s="1"/>
  <c r="AQ22" i="2" l="1"/>
  <c r="AO25" i="2"/>
  <c r="V37" i="3"/>
  <c r="T43" i="3"/>
  <c r="W37" i="3"/>
  <c r="H35" i="3"/>
  <c r="J26" i="3"/>
  <c r="BB25" i="3"/>
  <c r="AZ25" i="3"/>
  <c r="BG25" i="3"/>
  <c r="AY25" i="3"/>
  <c r="BC25" i="3"/>
  <c r="BF25" i="3"/>
  <c r="BE25" i="3"/>
  <c r="BD25" i="3"/>
  <c r="AX25" i="3"/>
  <c r="AW25" i="3"/>
  <c r="BA25" i="3"/>
  <c r="AN25" i="3"/>
  <c r="AV22" i="3"/>
  <c r="AU25" i="3"/>
  <c r="O26" i="3"/>
  <c r="L27" i="3"/>
  <c r="AY27" i="3" s="1"/>
  <c r="BA34" i="3"/>
  <c r="O28" i="3"/>
  <c r="R26" i="3" s="1"/>
  <c r="Q53" i="3"/>
  <c r="K26" i="3"/>
  <c r="N52" i="3"/>
  <c r="AZ33" i="3"/>
  <c r="AO28" i="3"/>
  <c r="AQ28" i="3" s="1"/>
  <c r="AQ25" i="3"/>
  <c r="V37" i="2"/>
  <c r="T43" i="2"/>
  <c r="W37" i="2"/>
  <c r="AV22" i="2"/>
  <c r="AU25" i="2"/>
  <c r="H35" i="2"/>
  <c r="J26" i="2"/>
  <c r="L26" i="2"/>
  <c r="I27" i="2"/>
  <c r="AX27" i="2" s="1"/>
  <c r="BB25" i="2"/>
  <c r="BA25" i="2"/>
  <c r="AZ25" i="2"/>
  <c r="BG25" i="2"/>
  <c r="AY25" i="2"/>
  <c r="BF25" i="2"/>
  <c r="AX25" i="2"/>
  <c r="BE25" i="2"/>
  <c r="AW25" i="2"/>
  <c r="BD25" i="2"/>
  <c r="BC25" i="2"/>
  <c r="AN25" i="2"/>
  <c r="N53" i="2"/>
  <c r="AZ34" i="2"/>
  <c r="L28" i="2"/>
  <c r="O26" i="2" s="1"/>
  <c r="K26" i="2"/>
  <c r="K35" i="2" s="1"/>
  <c r="N52" i="2"/>
  <c r="AZ33" i="2"/>
  <c r="AQ7" i="1"/>
  <c r="AQ15" i="1" s="1"/>
  <c r="AM29" i="1"/>
  <c r="AJ29" i="1"/>
  <c r="AG29" i="1"/>
  <c r="AD29" i="1"/>
  <c r="AA29" i="1"/>
  <c r="X29" i="1"/>
  <c r="U29" i="1"/>
  <c r="R29" i="1"/>
  <c r="O29" i="1"/>
  <c r="L29" i="1"/>
  <c r="I29" i="1"/>
  <c r="F29" i="1"/>
  <c r="AL34" i="1"/>
  <c r="AI34" i="1"/>
  <c r="AF34" i="1"/>
  <c r="AC34" i="1"/>
  <c r="Z34" i="1"/>
  <c r="W34" i="1"/>
  <c r="Q34" i="1"/>
  <c r="N34" i="1"/>
  <c r="K34" i="1"/>
  <c r="H34" i="1"/>
  <c r="T34" i="1"/>
  <c r="AM7" i="1"/>
  <c r="AM15" i="1" s="1"/>
  <c r="AL7" i="1"/>
  <c r="AJ7" i="1"/>
  <c r="AJ15" i="1" s="1"/>
  <c r="AI7" i="1"/>
  <c r="AG7" i="1"/>
  <c r="AF7" i="1"/>
  <c r="AF15" i="1" s="1"/>
  <c r="AD7" i="1"/>
  <c r="AC7" i="1"/>
  <c r="AC15" i="1" s="1"/>
  <c r="AA7" i="1"/>
  <c r="AA15" i="1" s="1"/>
  <c r="Z7" i="1"/>
  <c r="Z15" i="1" s="1"/>
  <c r="X7" i="1"/>
  <c r="W7" i="1"/>
  <c r="W15" i="1" s="1"/>
  <c r="U15" i="1"/>
  <c r="T7" i="1"/>
  <c r="R7" i="1"/>
  <c r="Q7" i="1"/>
  <c r="Q15" i="1" s="1"/>
  <c r="O7" i="1"/>
  <c r="N7" i="1"/>
  <c r="N15" i="1" s="1"/>
  <c r="L7" i="1"/>
  <c r="K7" i="1"/>
  <c r="K15" i="1" s="1"/>
  <c r="I7" i="1"/>
  <c r="H7" i="1"/>
  <c r="H15" i="1" s="1"/>
  <c r="F7" i="1"/>
  <c r="E7" i="1"/>
  <c r="AR4" i="1"/>
  <c r="AW4" i="1"/>
  <c r="AW7" i="1" s="1"/>
  <c r="AX4" i="1"/>
  <c r="AX7" i="1" s="1"/>
  <c r="AY4" i="1"/>
  <c r="AY7" i="1" s="1"/>
  <c r="AZ4" i="1"/>
  <c r="AZ7" i="1" s="1"/>
  <c r="BA4" i="1"/>
  <c r="BA7" i="1" s="1"/>
  <c r="BB4" i="1"/>
  <c r="BC4" i="1"/>
  <c r="BC7" i="1" s="1"/>
  <c r="BD4" i="1"/>
  <c r="BD7" i="1" s="1"/>
  <c r="BE4" i="1"/>
  <c r="BE7" i="1" s="1"/>
  <c r="BF4" i="1"/>
  <c r="BF7" i="1" s="1"/>
  <c r="BG4" i="1"/>
  <c r="BG7" i="1" s="1"/>
  <c r="BH4" i="1"/>
  <c r="BH7" i="1" s="1"/>
  <c r="AO28" i="2" l="1"/>
  <c r="AQ28" i="2" s="1"/>
  <c r="AQ25" i="2"/>
  <c r="BB34" i="3"/>
  <c r="R28" i="3"/>
  <c r="U26" i="3" s="1"/>
  <c r="T53" i="3"/>
  <c r="R27" i="3"/>
  <c r="BA27" i="3" s="1"/>
  <c r="BA26" i="3"/>
  <c r="W43" i="3"/>
  <c r="Z37" i="3"/>
  <c r="Y37" i="3"/>
  <c r="AZ26" i="3"/>
  <c r="O27" i="3"/>
  <c r="AZ27" i="3" s="1"/>
  <c r="N26" i="3"/>
  <c r="N35" i="3" s="1"/>
  <c r="Q52" i="3"/>
  <c r="BA33" i="3"/>
  <c r="H36" i="3"/>
  <c r="J35" i="3"/>
  <c r="J36" i="3" s="1"/>
  <c r="AU28" i="3"/>
  <c r="AV28" i="3" s="1"/>
  <c r="AV25" i="3"/>
  <c r="K35" i="3"/>
  <c r="M26" i="3"/>
  <c r="AV25" i="2"/>
  <c r="BA34" i="2"/>
  <c r="O28" i="2"/>
  <c r="R26" i="2" s="1"/>
  <c r="Q53" i="2"/>
  <c r="W43" i="2"/>
  <c r="Z37" i="2"/>
  <c r="Y37" i="2"/>
  <c r="AY26" i="2"/>
  <c r="M26" i="2"/>
  <c r="L27" i="2"/>
  <c r="AY27" i="2" s="1"/>
  <c r="N26" i="2"/>
  <c r="N35" i="2" s="1"/>
  <c r="Q52" i="2"/>
  <c r="BA33" i="2"/>
  <c r="AZ26" i="2"/>
  <c r="J35" i="2"/>
  <c r="J36" i="2" s="1"/>
  <c r="H36" i="2"/>
  <c r="M35" i="2"/>
  <c r="M36" i="2" s="1"/>
  <c r="K36" i="2"/>
  <c r="G7" i="1"/>
  <c r="T15" i="1"/>
  <c r="V7" i="1"/>
  <c r="V15" i="1" s="1"/>
  <c r="I15" i="1"/>
  <c r="J7" i="1"/>
  <c r="J15" i="1" s="1"/>
  <c r="AL15" i="1"/>
  <c r="AN7" i="1"/>
  <c r="AN15" i="1" s="1"/>
  <c r="AI15" i="1"/>
  <c r="AK7" i="1"/>
  <c r="AK15" i="1" s="1"/>
  <c r="AG15" i="1"/>
  <c r="AH7" i="1"/>
  <c r="AH15" i="1" s="1"/>
  <c r="AD15" i="1"/>
  <c r="AE7" i="1"/>
  <c r="AE15" i="1" s="1"/>
  <c r="L15" i="1"/>
  <c r="M7" i="1"/>
  <c r="M15" i="1" s="1"/>
  <c r="O15" i="1"/>
  <c r="P7" i="1"/>
  <c r="P15" i="1" s="1"/>
  <c r="R15" i="1"/>
  <c r="S7" i="1"/>
  <c r="S15" i="1" s="1"/>
  <c r="X15" i="1"/>
  <c r="Y7" i="1"/>
  <c r="Y15" i="1" s="1"/>
  <c r="AB7" i="1"/>
  <c r="AB15" i="1" s="1"/>
  <c r="E15" i="1"/>
  <c r="BI15" i="1" s="1"/>
  <c r="BJ15" i="1" s="1"/>
  <c r="BK15" i="1" s="1"/>
  <c r="BL15" i="1" s="1"/>
  <c r="BM15" i="1" s="1"/>
  <c r="BI7" i="1"/>
  <c r="BJ7" i="1" s="1"/>
  <c r="BK7" i="1" s="1"/>
  <c r="BL7" i="1" s="1"/>
  <c r="BM7" i="1" s="1"/>
  <c r="BN7" i="1" s="1"/>
  <c r="AU4" i="1"/>
  <c r="AU7" i="1" s="1"/>
  <c r="BB7" i="1"/>
  <c r="BU7" i="1"/>
  <c r="BV7" i="1" s="1"/>
  <c r="BW7" i="1" s="1"/>
  <c r="BX7" i="1" s="1"/>
  <c r="BY7" i="1" s="1"/>
  <c r="BZ7" i="1" s="1"/>
  <c r="F15" i="1"/>
  <c r="BU15" i="1" s="1"/>
  <c r="BV15" i="1" s="1"/>
  <c r="AM23" i="1"/>
  <c r="AJ23" i="1"/>
  <c r="AG23" i="1"/>
  <c r="AD23" i="1"/>
  <c r="AA23" i="1"/>
  <c r="X23" i="1"/>
  <c r="U23" i="1"/>
  <c r="R23" i="1"/>
  <c r="AR19" i="1"/>
  <c r="AL23" i="1"/>
  <c r="AL20" i="1"/>
  <c r="AL19" i="1"/>
  <c r="AL17" i="1"/>
  <c r="AI23" i="1"/>
  <c r="AI20" i="1"/>
  <c r="AI19" i="1"/>
  <c r="AI17" i="1"/>
  <c r="AF23" i="1"/>
  <c r="AF20" i="1"/>
  <c r="AF19" i="1"/>
  <c r="AF17" i="1"/>
  <c r="AC23" i="1"/>
  <c r="AC20" i="1"/>
  <c r="AC19" i="1"/>
  <c r="AC17" i="1"/>
  <c r="Z23" i="1"/>
  <c r="Z20" i="1"/>
  <c r="Z19" i="1"/>
  <c r="Z17" i="1"/>
  <c r="W23" i="1"/>
  <c r="W20" i="1"/>
  <c r="W19" i="1"/>
  <c r="W17" i="1"/>
  <c r="T23" i="1"/>
  <c r="T20" i="1"/>
  <c r="T19" i="1"/>
  <c r="T17" i="1"/>
  <c r="Q23" i="1"/>
  <c r="Q20" i="1"/>
  <c r="Q19" i="1"/>
  <c r="Q17" i="1"/>
  <c r="N23" i="1"/>
  <c r="N20" i="1"/>
  <c r="N19" i="1"/>
  <c r="N17" i="1"/>
  <c r="K23" i="1"/>
  <c r="K20" i="1"/>
  <c r="K19" i="1"/>
  <c r="K17" i="1"/>
  <c r="H23" i="1"/>
  <c r="H20" i="1"/>
  <c r="H19" i="1"/>
  <c r="H17" i="1"/>
  <c r="I17" i="1"/>
  <c r="I18" i="1"/>
  <c r="I19" i="1"/>
  <c r="I21" i="1"/>
  <c r="I22" i="1"/>
  <c r="I23" i="1"/>
  <c r="M16" i="1"/>
  <c r="L17" i="1"/>
  <c r="L18" i="1"/>
  <c r="L19" i="1"/>
  <c r="L21" i="1"/>
  <c r="L22" i="1"/>
  <c r="L23" i="1"/>
  <c r="P16" i="1"/>
  <c r="O17" i="1"/>
  <c r="O18" i="1"/>
  <c r="O19" i="1"/>
  <c r="O21" i="1"/>
  <c r="O22" i="1"/>
  <c r="O23" i="1"/>
  <c r="E23" i="1"/>
  <c r="BI23" i="1" s="1"/>
  <c r="E20" i="1"/>
  <c r="BI20" i="1" s="1"/>
  <c r="E19" i="1"/>
  <c r="AN42" i="1"/>
  <c r="AN38" i="1"/>
  <c r="AN33" i="1"/>
  <c r="AK42" i="1"/>
  <c r="AK38" i="1"/>
  <c r="AK33" i="1"/>
  <c r="AH42" i="1"/>
  <c r="AH38" i="1"/>
  <c r="AH33" i="1"/>
  <c r="AE42" i="1"/>
  <c r="AE38" i="1"/>
  <c r="AE33" i="1"/>
  <c r="AB42" i="1"/>
  <c r="AB38" i="1"/>
  <c r="AB33" i="1"/>
  <c r="Y42" i="1"/>
  <c r="Y38" i="1"/>
  <c r="Y33" i="1"/>
  <c r="V42" i="1"/>
  <c r="V38" i="1"/>
  <c r="V33" i="1"/>
  <c r="S42" i="1"/>
  <c r="S38" i="1"/>
  <c r="S33" i="1"/>
  <c r="P42" i="1"/>
  <c r="P38" i="1"/>
  <c r="P33" i="1"/>
  <c r="M42" i="1"/>
  <c r="M38" i="1"/>
  <c r="M33" i="1"/>
  <c r="J42" i="1"/>
  <c r="J38" i="1"/>
  <c r="J33" i="1"/>
  <c r="G33" i="1"/>
  <c r="AN40" i="1"/>
  <c r="AK40" i="1"/>
  <c r="AK34" i="1"/>
  <c r="AH40" i="1"/>
  <c r="AH34" i="1"/>
  <c r="AE40" i="1"/>
  <c r="AE34" i="1"/>
  <c r="AB40" i="1"/>
  <c r="AB34" i="1"/>
  <c r="Y40" i="1"/>
  <c r="Y34" i="1"/>
  <c r="V40" i="1"/>
  <c r="V34" i="1"/>
  <c r="S40" i="1"/>
  <c r="S34" i="1"/>
  <c r="P40" i="1"/>
  <c r="K40" i="1"/>
  <c r="M40" i="1" s="1"/>
  <c r="M34" i="1"/>
  <c r="H40" i="1"/>
  <c r="J40" i="1" s="1"/>
  <c r="J34" i="1"/>
  <c r="I36" i="1"/>
  <c r="G42" i="1"/>
  <c r="G38" i="1"/>
  <c r="G40" i="1"/>
  <c r="G34" i="1"/>
  <c r="AM36" i="1"/>
  <c r="AG36" i="1"/>
  <c r="AD36" i="1"/>
  <c r="AA36" i="1"/>
  <c r="X36" i="1"/>
  <c r="U36" i="1"/>
  <c r="R36" i="1"/>
  <c r="O36" i="1"/>
  <c r="L36" i="1"/>
  <c r="T52" i="3" l="1"/>
  <c r="BB33" i="3"/>
  <c r="Q26" i="3"/>
  <c r="AC37" i="3"/>
  <c r="AB37" i="3"/>
  <c r="Z43" i="3"/>
  <c r="P35" i="3"/>
  <c r="P36" i="3" s="1"/>
  <c r="N36" i="3"/>
  <c r="U28" i="3"/>
  <c r="X26" i="3" s="1"/>
  <c r="W53" i="3"/>
  <c r="BC34" i="3"/>
  <c r="P26" i="3"/>
  <c r="U27" i="3"/>
  <c r="BB27" i="3" s="1"/>
  <c r="BB26" i="3"/>
  <c r="M35" i="3"/>
  <c r="M36" i="3" s="1"/>
  <c r="K36" i="3"/>
  <c r="BN15" i="1"/>
  <c r="BO15" i="1" s="1"/>
  <c r="BP15" i="1" s="1"/>
  <c r="BQ15" i="1" s="1"/>
  <c r="BR15" i="1" s="1"/>
  <c r="O27" i="2"/>
  <c r="AZ27" i="2" s="1"/>
  <c r="AC37" i="2"/>
  <c r="AB37" i="2"/>
  <c r="Z43" i="2"/>
  <c r="BA26" i="2"/>
  <c r="P35" i="2"/>
  <c r="P36" i="2" s="1"/>
  <c r="N36" i="2"/>
  <c r="T52" i="2"/>
  <c r="BB33" i="2"/>
  <c r="Q26" i="2"/>
  <c r="Q35" i="2" s="1"/>
  <c r="BB34" i="2"/>
  <c r="R28" i="2"/>
  <c r="U26" i="2" s="1"/>
  <c r="T53" i="2"/>
  <c r="P26" i="2"/>
  <c r="J19" i="1"/>
  <c r="BI19" i="1"/>
  <c r="BJ19" i="1" s="1"/>
  <c r="BK19" i="1" s="1"/>
  <c r="BL19" i="1" s="1"/>
  <c r="BM19" i="1" s="1"/>
  <c r="BN19" i="1" s="1"/>
  <c r="BO19" i="1" s="1"/>
  <c r="BP19" i="1" s="1"/>
  <c r="BQ19" i="1" s="1"/>
  <c r="BR19" i="1" s="1"/>
  <c r="E37" i="1"/>
  <c r="H37" i="1" s="1"/>
  <c r="J23" i="1"/>
  <c r="AN23" i="1"/>
  <c r="AH23" i="1"/>
  <c r="AB23" i="1"/>
  <c r="P23" i="1"/>
  <c r="BW15" i="1"/>
  <c r="BX15" i="1" s="1"/>
  <c r="BY15" i="1" s="1"/>
  <c r="BZ15" i="1" s="1"/>
  <c r="CA15" i="1" s="1"/>
  <c r="CB15" i="1" s="1"/>
  <c r="CC15" i="1" s="1"/>
  <c r="CD15" i="1" s="1"/>
  <c r="CE15" i="1" s="1"/>
  <c r="CF15" i="1" s="1"/>
  <c r="J17" i="1"/>
  <c r="Y23" i="1"/>
  <c r="AE23" i="1"/>
  <c r="M17" i="1"/>
  <c r="AK23" i="1"/>
  <c r="BS15" i="1"/>
  <c r="BT15" i="1" s="1"/>
  <c r="AV4" i="1"/>
  <c r="AV7" i="1" s="1"/>
  <c r="CA7" i="1"/>
  <c r="CB7" i="1" s="1"/>
  <c r="CC7" i="1" s="1"/>
  <c r="CD7" i="1" s="1"/>
  <c r="CE7" i="1" s="1"/>
  <c r="CF7" i="1" s="1"/>
  <c r="BJ23" i="1"/>
  <c r="BK23" i="1" s="1"/>
  <c r="BL23" i="1" s="1"/>
  <c r="BM23" i="1" s="1"/>
  <c r="BN23" i="1" s="1"/>
  <c r="M23" i="1"/>
  <c r="BJ20" i="1"/>
  <c r="BK20" i="1" s="1"/>
  <c r="BL20" i="1" s="1"/>
  <c r="BM20" i="1" s="1"/>
  <c r="BN20" i="1" s="1"/>
  <c r="BO20" i="1" s="1"/>
  <c r="BP20" i="1" s="1"/>
  <c r="BQ20" i="1" s="1"/>
  <c r="BR20" i="1" s="1"/>
  <c r="BS20" i="1" s="1"/>
  <c r="BT20" i="1" s="1"/>
  <c r="BO7" i="1"/>
  <c r="BP7" i="1" s="1"/>
  <c r="BQ7" i="1" s="1"/>
  <c r="BR7" i="1" s="1"/>
  <c r="BS7" i="1" s="1"/>
  <c r="BT7" i="1" s="1"/>
  <c r="AT15" i="1" s="1"/>
  <c r="AO7" i="1"/>
  <c r="AO15" i="1" s="1"/>
  <c r="Q18" i="1"/>
  <c r="AL18" i="1"/>
  <c r="P17" i="1"/>
  <c r="H18" i="1"/>
  <c r="J18" i="1" s="1"/>
  <c r="N18" i="1"/>
  <c r="P18" i="1" s="1"/>
  <c r="K21" i="1"/>
  <c r="M21" i="1" s="1"/>
  <c r="Q21" i="1"/>
  <c r="W21" i="1"/>
  <c r="AC21" i="1"/>
  <c r="AI21" i="1"/>
  <c r="T18" i="1"/>
  <c r="Z18" i="1"/>
  <c r="P34" i="1"/>
  <c r="K18" i="1"/>
  <c r="M18" i="1" s="1"/>
  <c r="W18" i="1"/>
  <c r="AC18" i="1"/>
  <c r="AI18" i="1"/>
  <c r="AN34" i="1"/>
  <c r="AF18" i="1"/>
  <c r="H21" i="1"/>
  <c r="J21" i="1" s="1"/>
  <c r="N21" i="1"/>
  <c r="P21" i="1" s="1"/>
  <c r="T21" i="1"/>
  <c r="Z21" i="1"/>
  <c r="AF21" i="1"/>
  <c r="AL21" i="1"/>
  <c r="E21" i="1"/>
  <c r="BI21" i="1" s="1"/>
  <c r="Q35" i="3" l="1"/>
  <c r="S26" i="3"/>
  <c r="X28" i="3"/>
  <c r="AA26" i="3" s="1"/>
  <c r="Z53" i="3"/>
  <c r="BD34" i="3"/>
  <c r="AF37" i="3"/>
  <c r="AE37" i="3"/>
  <c r="AC43" i="3"/>
  <c r="BC26" i="3"/>
  <c r="W52" i="3"/>
  <c r="T26" i="3"/>
  <c r="BC33" i="3"/>
  <c r="S26" i="2"/>
  <c r="BB26" i="2"/>
  <c r="S35" i="2"/>
  <c r="S36" i="2" s="1"/>
  <c r="Q36" i="2"/>
  <c r="U28" i="2"/>
  <c r="X26" i="2" s="1"/>
  <c r="W53" i="2"/>
  <c r="BC34" i="2"/>
  <c r="R27" i="2"/>
  <c r="BA27" i="2" s="1"/>
  <c r="W52" i="2"/>
  <c r="T26" i="2"/>
  <c r="T35" i="2" s="1"/>
  <c r="BC33" i="2"/>
  <c r="AF37" i="2"/>
  <c r="AE37" i="2"/>
  <c r="AC43" i="2"/>
  <c r="AO20" i="1"/>
  <c r="BS19" i="1"/>
  <c r="BT19" i="1" s="1"/>
  <c r="AO19" i="1"/>
  <c r="AP7" i="1"/>
  <c r="AP15" i="1" s="1"/>
  <c r="BO23" i="1"/>
  <c r="BP23" i="1" s="1"/>
  <c r="BQ23" i="1" s="1"/>
  <c r="BR23" i="1" s="1"/>
  <c r="BS23" i="1" s="1"/>
  <c r="BT23" i="1" s="1"/>
  <c r="AT23" i="1" s="1"/>
  <c r="AT25" i="1" s="1"/>
  <c r="AT28" i="1" s="1"/>
  <c r="BJ21" i="1"/>
  <c r="BK21" i="1" s="1"/>
  <c r="BL21" i="1" s="1"/>
  <c r="BM21" i="1" s="1"/>
  <c r="BN21" i="1" s="1"/>
  <c r="F30" i="1"/>
  <c r="I30" i="1"/>
  <c r="L30" i="1"/>
  <c r="O30" i="1"/>
  <c r="R30" i="1"/>
  <c r="U30" i="1"/>
  <c r="X30" i="1"/>
  <c r="AA30" i="1"/>
  <c r="AD30" i="1"/>
  <c r="AG30" i="1"/>
  <c r="AJ30" i="1"/>
  <c r="AM30" i="1"/>
  <c r="AM19" i="1"/>
  <c r="AN19" i="1" s="1"/>
  <c r="AJ19" i="1"/>
  <c r="AK19" i="1" s="1"/>
  <c r="AG19" i="1"/>
  <c r="AH19" i="1" s="1"/>
  <c r="AD19" i="1"/>
  <c r="AE19" i="1" s="1"/>
  <c r="AA19" i="1"/>
  <c r="AB19" i="1" s="1"/>
  <c r="X19" i="1"/>
  <c r="Y19" i="1" s="1"/>
  <c r="U19" i="1"/>
  <c r="R19" i="1"/>
  <c r="F19" i="1"/>
  <c r="BU19" i="1" s="1"/>
  <c r="BV19" i="1" s="1"/>
  <c r="BW19" i="1" s="1"/>
  <c r="BX19" i="1" s="1"/>
  <c r="D28" i="1"/>
  <c r="AL51" i="1"/>
  <c r="AI51" i="1"/>
  <c r="AF51" i="1"/>
  <c r="AC51" i="1"/>
  <c r="W51" i="1"/>
  <c r="T51" i="1"/>
  <c r="Q51" i="1"/>
  <c r="N51" i="1"/>
  <c r="K51" i="1"/>
  <c r="H51" i="1"/>
  <c r="E51" i="1"/>
  <c r="D51" i="1"/>
  <c r="D48" i="1"/>
  <c r="F23" i="1"/>
  <c r="BU23" i="1" s="1"/>
  <c r="BV23" i="1" s="1"/>
  <c r="BW23" i="1" s="1"/>
  <c r="BX23" i="1" s="1"/>
  <c r="BY23" i="1" s="1"/>
  <c r="BZ23" i="1" s="1"/>
  <c r="AM22" i="1"/>
  <c r="AJ22" i="1"/>
  <c r="AG22" i="1"/>
  <c r="AD22" i="1"/>
  <c r="AA22" i="1"/>
  <c r="X22" i="1"/>
  <c r="U22" i="1"/>
  <c r="R22" i="1"/>
  <c r="F22" i="1"/>
  <c r="BU22" i="1" s="1"/>
  <c r="BV22" i="1" s="1"/>
  <c r="BW22" i="1" s="1"/>
  <c r="BX22" i="1" s="1"/>
  <c r="AM21" i="1"/>
  <c r="AN21" i="1" s="1"/>
  <c r="AJ21" i="1"/>
  <c r="AK21" i="1" s="1"/>
  <c r="AG21" i="1"/>
  <c r="AH21" i="1" s="1"/>
  <c r="AD21" i="1"/>
  <c r="AE21" i="1" s="1"/>
  <c r="AA21" i="1"/>
  <c r="X21" i="1"/>
  <c r="Y21" i="1" s="1"/>
  <c r="U21" i="1"/>
  <c r="R21" i="1"/>
  <c r="F21" i="1"/>
  <c r="BU21" i="1" s="1"/>
  <c r="BV21" i="1" s="1"/>
  <c r="BW21" i="1" s="1"/>
  <c r="BX21" i="1" s="1"/>
  <c r="AM18" i="1"/>
  <c r="AN18" i="1" s="1"/>
  <c r="AJ18" i="1"/>
  <c r="AK18" i="1" s="1"/>
  <c r="AG18" i="1"/>
  <c r="AH18" i="1" s="1"/>
  <c r="AD18" i="1"/>
  <c r="AE18" i="1" s="1"/>
  <c r="AA18" i="1"/>
  <c r="X18" i="1"/>
  <c r="Y18" i="1" s="1"/>
  <c r="U18" i="1"/>
  <c r="R18" i="1"/>
  <c r="F18" i="1"/>
  <c r="BU18" i="1" s="1"/>
  <c r="BV18" i="1" s="1"/>
  <c r="BW18" i="1" s="1"/>
  <c r="BX18" i="1" s="1"/>
  <c r="AM17" i="1"/>
  <c r="AN17" i="1" s="1"/>
  <c r="AJ17" i="1"/>
  <c r="AK17" i="1" s="1"/>
  <c r="AG17" i="1"/>
  <c r="AH17" i="1" s="1"/>
  <c r="AD17" i="1"/>
  <c r="AE17" i="1" s="1"/>
  <c r="AA17" i="1"/>
  <c r="AB17" i="1" s="1"/>
  <c r="X17" i="1"/>
  <c r="Y17" i="1" s="1"/>
  <c r="U17" i="1"/>
  <c r="R17" i="1"/>
  <c r="F17" i="1"/>
  <c r="BU17" i="1" s="1"/>
  <c r="BV17" i="1" s="1"/>
  <c r="BW17" i="1" s="1"/>
  <c r="BX17" i="1" s="1"/>
  <c r="D43" i="1"/>
  <c r="F36" i="1"/>
  <c r="D36" i="1"/>
  <c r="BY17" i="1" l="1"/>
  <c r="BZ17" i="1" s="1"/>
  <c r="BD26" i="3"/>
  <c r="AH37" i="3"/>
  <c r="AF43" i="3"/>
  <c r="AI37" i="3"/>
  <c r="T35" i="3"/>
  <c r="V26" i="3"/>
  <c r="Z52" i="3"/>
  <c r="BD33" i="3"/>
  <c r="W26" i="3"/>
  <c r="AA28" i="3"/>
  <c r="AD26" i="3" s="1"/>
  <c r="AC53" i="3"/>
  <c r="BE34" i="3"/>
  <c r="X27" i="3"/>
  <c r="BC27" i="3" s="1"/>
  <c r="S35" i="3"/>
  <c r="S36" i="3" s="1"/>
  <c r="Q36" i="3"/>
  <c r="X28" i="2"/>
  <c r="AA26" i="2" s="1"/>
  <c r="Z53" i="2"/>
  <c r="BD34" i="2"/>
  <c r="AH37" i="2"/>
  <c r="AF43" i="2"/>
  <c r="AI37" i="2"/>
  <c r="Z52" i="2"/>
  <c r="BD33" i="2"/>
  <c r="W26" i="2"/>
  <c r="W35" i="2" s="1"/>
  <c r="U27" i="2"/>
  <c r="BB27" i="2" s="1"/>
  <c r="AU27" i="2" s="1"/>
  <c r="X27" i="2"/>
  <c r="BC27" i="2" s="1"/>
  <c r="BC26" i="2"/>
  <c r="V35" i="2"/>
  <c r="V36" i="2" s="1"/>
  <c r="T36" i="2"/>
  <c r="V26" i="2"/>
  <c r="AO23" i="1"/>
  <c r="BY22" i="1"/>
  <c r="BZ22" i="1" s="1"/>
  <c r="CA22" i="1" s="1"/>
  <c r="CB22" i="1" s="1"/>
  <c r="CC22" i="1" s="1"/>
  <c r="CD22" i="1" s="1"/>
  <c r="CE22" i="1" s="1"/>
  <c r="CF22" i="1" s="1"/>
  <c r="AB21" i="1"/>
  <c r="AB18" i="1"/>
  <c r="CA23" i="1"/>
  <c r="CB23" i="1" s="1"/>
  <c r="CC23" i="1" s="1"/>
  <c r="CD23" i="1" s="1"/>
  <c r="CE23" i="1" s="1"/>
  <c r="CF23" i="1" s="1"/>
  <c r="BY18" i="1"/>
  <c r="BZ18" i="1" s="1"/>
  <c r="BY19" i="1"/>
  <c r="BZ19" i="1" s="1"/>
  <c r="CA17" i="1"/>
  <c r="CB17" i="1" s="1"/>
  <c r="CC17" i="1" s="1"/>
  <c r="CD17" i="1" s="1"/>
  <c r="CE17" i="1" s="1"/>
  <c r="CF17" i="1" s="1"/>
  <c r="BY21" i="1"/>
  <c r="BZ21" i="1" s="1"/>
  <c r="CA21" i="1" s="1"/>
  <c r="CB21" i="1" s="1"/>
  <c r="BO21" i="1"/>
  <c r="BP21" i="1" s="1"/>
  <c r="BQ21" i="1" s="1"/>
  <c r="BR21" i="1" s="1"/>
  <c r="BS21" i="1" s="1"/>
  <c r="BT21" i="1" s="1"/>
  <c r="BB19" i="1"/>
  <c r="G19" i="1"/>
  <c r="AY19" i="1"/>
  <c r="AZ19" i="1"/>
  <c r="AX19" i="1"/>
  <c r="AW19" i="1"/>
  <c r="BD19" i="1"/>
  <c r="BH19" i="1"/>
  <c r="BA19" i="1"/>
  <c r="BE19" i="1"/>
  <c r="BF19" i="1"/>
  <c r="BC19" i="1"/>
  <c r="BG19" i="1"/>
  <c r="G39" i="1"/>
  <c r="F43" i="1"/>
  <c r="F20" i="1"/>
  <c r="G21" i="1"/>
  <c r="AR23" i="1"/>
  <c r="AR20" i="1"/>
  <c r="V35" i="3" l="1"/>
  <c r="V36" i="3" s="1"/>
  <c r="T36" i="3"/>
  <c r="AI43" i="3"/>
  <c r="AL37" i="3"/>
  <c r="AK37" i="3"/>
  <c r="AF53" i="3"/>
  <c r="BF34" i="3"/>
  <c r="AD28" i="3"/>
  <c r="AG26" i="3" s="1"/>
  <c r="BE26" i="3"/>
  <c r="W35" i="3"/>
  <c r="Y26" i="3"/>
  <c r="AC52" i="3"/>
  <c r="BE33" i="3"/>
  <c r="Z26" i="3"/>
  <c r="AA27" i="3"/>
  <c r="BD27" i="3" s="1"/>
  <c r="AV27" i="2"/>
  <c r="AU28" i="2"/>
  <c r="AV28" i="2" s="1"/>
  <c r="Y26" i="2"/>
  <c r="AI43" i="2"/>
  <c r="AL37" i="2"/>
  <c r="AK37" i="2"/>
  <c r="AA28" i="2"/>
  <c r="AD26" i="2" s="1"/>
  <c r="AC53" i="2"/>
  <c r="BE34" i="2"/>
  <c r="AC52" i="2"/>
  <c r="BE33" i="2"/>
  <c r="Z26" i="2"/>
  <c r="Z35" i="2" s="1"/>
  <c r="Y35" i="2"/>
  <c r="Y36" i="2" s="1"/>
  <c r="W36" i="2"/>
  <c r="BD26" i="2"/>
  <c r="AO21" i="1"/>
  <c r="AP17" i="1"/>
  <c r="CC21" i="1"/>
  <c r="CD21" i="1" s="1"/>
  <c r="CE21" i="1" s="1"/>
  <c r="CF21" i="1" s="1"/>
  <c r="AP23" i="1"/>
  <c r="AQ23" i="1" s="1"/>
  <c r="AP22" i="1"/>
  <c r="AU19" i="1"/>
  <c r="AV19" i="1" s="1"/>
  <c r="AW20" i="1"/>
  <c r="BU20" i="1"/>
  <c r="CA18" i="1"/>
  <c r="CB18" i="1" s="1"/>
  <c r="CC18" i="1" s="1"/>
  <c r="CD18" i="1" s="1"/>
  <c r="CE18" i="1" s="1"/>
  <c r="CF18" i="1" s="1"/>
  <c r="CA19" i="1"/>
  <c r="CB19" i="1" s="1"/>
  <c r="CC19" i="1" s="1"/>
  <c r="CD19" i="1" s="1"/>
  <c r="CE19" i="1" s="1"/>
  <c r="CF19" i="1" s="1"/>
  <c r="I20" i="1"/>
  <c r="J39" i="1"/>
  <c r="I43" i="1"/>
  <c r="I44" i="1" s="1"/>
  <c r="G20" i="1"/>
  <c r="E28" i="1"/>
  <c r="V21" i="1"/>
  <c r="S21" i="1"/>
  <c r="AB16" i="1"/>
  <c r="Y16" i="1"/>
  <c r="V16" i="1"/>
  <c r="S16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R14" i="1"/>
  <c r="D52" i="1"/>
  <c r="K47" i="1"/>
  <c r="E17" i="1"/>
  <c r="BI17" i="1" s="1"/>
  <c r="BJ17" i="1" s="1"/>
  <c r="BK17" i="1" s="1"/>
  <c r="BL17" i="1" s="1"/>
  <c r="BM17" i="1" s="1"/>
  <c r="BN17" i="1" s="1"/>
  <c r="AR18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R21" i="1"/>
  <c r="BF26" i="3" l="1"/>
  <c r="BF33" i="3"/>
  <c r="AF52" i="3"/>
  <c r="AC26" i="3"/>
  <c r="Y35" i="3"/>
  <c r="Y36" i="3" s="1"/>
  <c r="W36" i="3"/>
  <c r="AD27" i="3"/>
  <c r="BE27" i="3" s="1"/>
  <c r="Z35" i="3"/>
  <c r="AB26" i="3"/>
  <c r="AI53" i="3"/>
  <c r="BG34" i="3"/>
  <c r="AG28" i="3"/>
  <c r="AJ26" i="3" s="1"/>
  <c r="AN37" i="3"/>
  <c r="AL43" i="3"/>
  <c r="AB26" i="2"/>
  <c r="AA27" i="2"/>
  <c r="BD27" i="2" s="1"/>
  <c r="AF53" i="2"/>
  <c r="BF34" i="2"/>
  <c r="AD28" i="2"/>
  <c r="AG26" i="2" s="1"/>
  <c r="BF33" i="2"/>
  <c r="AC26" i="2"/>
  <c r="AC35" i="2" s="1"/>
  <c r="AF52" i="2"/>
  <c r="AN37" i="2"/>
  <c r="AL43" i="2"/>
  <c r="BE26" i="2"/>
  <c r="AB35" i="2"/>
  <c r="AB36" i="2" s="1"/>
  <c r="Z36" i="2"/>
  <c r="BV20" i="1"/>
  <c r="J20" i="1"/>
  <c r="AP21" i="1"/>
  <c r="AQ21" i="1" s="1"/>
  <c r="AP19" i="1"/>
  <c r="AQ19" i="1" s="1"/>
  <c r="AP18" i="1"/>
  <c r="BO17" i="1"/>
  <c r="BP17" i="1" s="1"/>
  <c r="BQ17" i="1" s="1"/>
  <c r="BR17" i="1" s="1"/>
  <c r="BS17" i="1" s="1"/>
  <c r="BT17" i="1" s="1"/>
  <c r="AO17" i="1"/>
  <c r="AQ17" i="1" s="1"/>
  <c r="AX20" i="1"/>
  <c r="L20" i="1"/>
  <c r="O20" i="1"/>
  <c r="M39" i="1"/>
  <c r="L43" i="1"/>
  <c r="L44" i="1" s="1"/>
  <c r="I25" i="1"/>
  <c r="V18" i="1"/>
  <c r="D53" i="1"/>
  <c r="AW34" i="1" s="1"/>
  <c r="S18" i="1"/>
  <c r="BG18" i="1"/>
  <c r="E18" i="1"/>
  <c r="AW33" i="1"/>
  <c r="V17" i="1"/>
  <c r="AU21" i="1"/>
  <c r="S17" i="1"/>
  <c r="AU14" i="1"/>
  <c r="AV14" i="1" s="1"/>
  <c r="BH18" i="1"/>
  <c r="AC35" i="3" l="1"/>
  <c r="AE26" i="3"/>
  <c r="AI52" i="3"/>
  <c r="BG33" i="3"/>
  <c r="AF26" i="3"/>
  <c r="AB35" i="3"/>
  <c r="AB36" i="3" s="1"/>
  <c r="Z36" i="3"/>
  <c r="BG26" i="3"/>
  <c r="AL53" i="3"/>
  <c r="BH34" i="3"/>
  <c r="AJ28" i="3"/>
  <c r="AM26" i="3" s="1"/>
  <c r="AG27" i="3"/>
  <c r="BF27" i="3" s="1"/>
  <c r="AI52" i="2"/>
  <c r="AF26" i="2"/>
  <c r="AF35" i="2" s="1"/>
  <c r="BG33" i="2"/>
  <c r="AE35" i="2"/>
  <c r="AE36" i="2" s="1"/>
  <c r="AC36" i="2"/>
  <c r="AE26" i="2"/>
  <c r="BF26" i="2"/>
  <c r="AD27" i="2"/>
  <c r="BE27" i="2" s="1"/>
  <c r="AI53" i="2"/>
  <c r="BG34" i="2"/>
  <c r="AG28" i="2"/>
  <c r="AJ26" i="2" s="1"/>
  <c r="BW20" i="1"/>
  <c r="BX20" i="1" s="1"/>
  <c r="AV21" i="1"/>
  <c r="G18" i="1"/>
  <c r="BI18" i="1"/>
  <c r="BJ18" i="1" s="1"/>
  <c r="BK18" i="1" s="1"/>
  <c r="BL18" i="1" s="1"/>
  <c r="BM18" i="1" s="1"/>
  <c r="BN18" i="1" s="1"/>
  <c r="P20" i="1"/>
  <c r="AZ20" i="1"/>
  <c r="O25" i="1"/>
  <c r="M20" i="1"/>
  <c r="AY20" i="1"/>
  <c r="P39" i="1"/>
  <c r="O43" i="1"/>
  <c r="O44" i="1" s="1"/>
  <c r="L25" i="1"/>
  <c r="BE18" i="1"/>
  <c r="BA18" i="1"/>
  <c r="AY18" i="1"/>
  <c r="BD18" i="1"/>
  <c r="BF18" i="1"/>
  <c r="AX18" i="1"/>
  <c r="AZ18" i="1"/>
  <c r="BB18" i="1"/>
  <c r="AW18" i="1"/>
  <c r="BC18" i="1"/>
  <c r="BH26" i="3" l="1"/>
  <c r="AI26" i="3"/>
  <c r="AL52" i="3"/>
  <c r="BH33" i="3"/>
  <c r="AJ27" i="3"/>
  <c r="BG27" i="3" s="1"/>
  <c r="AF35" i="3"/>
  <c r="AH26" i="3"/>
  <c r="BI34" i="3"/>
  <c r="AM28" i="3"/>
  <c r="AM27" i="3" s="1"/>
  <c r="BH27" i="3" s="1"/>
  <c r="AE35" i="3"/>
  <c r="AE36" i="3" s="1"/>
  <c r="AC36" i="3"/>
  <c r="AH26" i="2"/>
  <c r="BG26" i="2"/>
  <c r="AL53" i="2"/>
  <c r="BH34" i="2"/>
  <c r="AJ28" i="2"/>
  <c r="AM26" i="2" s="1"/>
  <c r="AH35" i="2"/>
  <c r="AH36" i="2" s="1"/>
  <c r="AF36" i="2"/>
  <c r="AG27" i="2"/>
  <c r="BF27" i="2" s="1"/>
  <c r="AI26" i="2"/>
  <c r="AI35" i="2" s="1"/>
  <c r="AL52" i="2"/>
  <c r="BH33" i="2"/>
  <c r="BO18" i="1"/>
  <c r="BP18" i="1" s="1"/>
  <c r="BQ18" i="1" s="1"/>
  <c r="BR18" i="1" s="1"/>
  <c r="BS18" i="1" s="1"/>
  <c r="BT18" i="1" s="1"/>
  <c r="S39" i="1"/>
  <c r="U20" i="1"/>
  <c r="R43" i="1"/>
  <c r="R44" i="1" s="1"/>
  <c r="R20" i="1"/>
  <c r="BY20" i="1" s="1"/>
  <c r="AU18" i="1"/>
  <c r="AV18" i="1" s="1"/>
  <c r="AF36" i="3" l="1"/>
  <c r="AH35" i="3"/>
  <c r="AH36" i="3" s="1"/>
  <c r="AI35" i="3"/>
  <c r="AK26" i="3"/>
  <c r="AL26" i="3"/>
  <c r="BI33" i="3"/>
  <c r="BH26" i="2"/>
  <c r="BI34" i="2"/>
  <c r="AM28" i="2"/>
  <c r="AM27" i="2" s="1"/>
  <c r="BH27" i="2" s="1"/>
  <c r="AL26" i="2"/>
  <c r="AL35" i="2" s="1"/>
  <c r="BI33" i="2"/>
  <c r="AJ27" i="2"/>
  <c r="BG27" i="2" s="1"/>
  <c r="AK35" i="2"/>
  <c r="AK36" i="2" s="1"/>
  <c r="AI36" i="2"/>
  <c r="AK26" i="2"/>
  <c r="AO18" i="1"/>
  <c r="AQ18" i="1" s="1"/>
  <c r="BZ20" i="1"/>
  <c r="U25" i="1"/>
  <c r="BB20" i="1"/>
  <c r="R25" i="1"/>
  <c r="BA20" i="1"/>
  <c r="V39" i="1"/>
  <c r="U43" i="1"/>
  <c r="U44" i="1" s="1"/>
  <c r="S20" i="1"/>
  <c r="V20" i="1"/>
  <c r="X20" i="1"/>
  <c r="S23" i="1"/>
  <c r="AL35" i="3" l="1"/>
  <c r="AN26" i="3"/>
  <c r="AK35" i="3"/>
  <c r="AK36" i="3" s="1"/>
  <c r="AI36" i="3"/>
  <c r="AN35" i="2"/>
  <c r="AN36" i="2" s="1"/>
  <c r="AL36" i="2"/>
  <c r="AN26" i="2"/>
  <c r="CA20" i="1"/>
  <c r="Y20" i="1"/>
  <c r="X43" i="1"/>
  <c r="X44" i="1" s="1"/>
  <c r="X25" i="1"/>
  <c r="BC20" i="1"/>
  <c r="Y39" i="1"/>
  <c r="V23" i="1"/>
  <c r="BH22" i="1"/>
  <c r="AR22" i="1"/>
  <c r="BH13" i="1"/>
  <c r="BH15" i="1" s="1"/>
  <c r="BG13" i="1"/>
  <c r="BG15" i="1" s="1"/>
  <c r="BF13" i="1"/>
  <c r="BF15" i="1" s="1"/>
  <c r="AR13" i="1"/>
  <c r="G15" i="1"/>
  <c r="AN35" i="3" l="1"/>
  <c r="AN36" i="3" s="1"/>
  <c r="AL36" i="3"/>
  <c r="AA43" i="1"/>
  <c r="AA44" i="1" s="1"/>
  <c r="AB39" i="1"/>
  <c r="AA20" i="1"/>
  <c r="BD13" i="1"/>
  <c r="BD15" i="1" s="1"/>
  <c r="AW13" i="1"/>
  <c r="AW15" i="1" s="1"/>
  <c r="AY13" i="1"/>
  <c r="AY15" i="1" s="1"/>
  <c r="BA13" i="1"/>
  <c r="BA15" i="1" s="1"/>
  <c r="BC13" i="1"/>
  <c r="BC15" i="1" s="1"/>
  <c r="BE13" i="1"/>
  <c r="BE15" i="1" s="1"/>
  <c r="AX13" i="1"/>
  <c r="AX15" i="1" s="1"/>
  <c r="AZ13" i="1"/>
  <c r="AZ15" i="1" s="1"/>
  <c r="BB13" i="1"/>
  <c r="BB15" i="1" s="1"/>
  <c r="AD20" i="1" l="1"/>
  <c r="AE20" i="1" s="1"/>
  <c r="AD43" i="1"/>
  <c r="AD44" i="1" s="1"/>
  <c r="AB20" i="1"/>
  <c r="AA25" i="1"/>
  <c r="CB20" i="1"/>
  <c r="CC20" i="1" s="1"/>
  <c r="BD20" i="1"/>
  <c r="AD25" i="1"/>
  <c r="BE20" i="1"/>
  <c r="AE39" i="1"/>
  <c r="AU13" i="1"/>
  <c r="AV13" i="1" s="1"/>
  <c r="AG20" i="1" l="1"/>
  <c r="AH20" i="1" s="1"/>
  <c r="AG43" i="1"/>
  <c r="AG44" i="1" s="1"/>
  <c r="AV15" i="1"/>
  <c r="AU15" i="1"/>
  <c r="AG25" i="1"/>
  <c r="BF20" i="1"/>
  <c r="AU20" i="1" s="1"/>
  <c r="AV20" i="1" s="1"/>
  <c r="AH39" i="1"/>
  <c r="AJ20" i="1"/>
  <c r="AL45" i="1"/>
  <c r="AI45" i="1"/>
  <c r="AF45" i="1"/>
  <c r="AC45" i="1"/>
  <c r="Z45" i="1"/>
  <c r="W45" i="1"/>
  <c r="T45" i="1"/>
  <c r="Q45" i="1"/>
  <c r="N45" i="1"/>
  <c r="K45" i="1"/>
  <c r="H45" i="1"/>
  <c r="E45" i="1"/>
  <c r="CD20" i="1" l="1"/>
  <c r="AP20" i="1" s="1"/>
  <c r="AQ20" i="1" s="1"/>
  <c r="CE20" i="1"/>
  <c r="AK20" i="1"/>
  <c r="AJ25" i="1"/>
  <c r="BG20" i="1"/>
  <c r="AJ44" i="1"/>
  <c r="AK39" i="1"/>
  <c r="AN39" i="1" l="1"/>
  <c r="AM43" i="1"/>
  <c r="AM44" i="1" s="1"/>
  <c r="AM20" i="1"/>
  <c r="AN20" i="1" s="1"/>
  <c r="G17" i="1"/>
  <c r="G16" i="1"/>
  <c r="AL46" i="1"/>
  <c r="AI46" i="1"/>
  <c r="AF46" i="1"/>
  <c r="AC46" i="1"/>
  <c r="Z46" i="1"/>
  <c r="W46" i="1"/>
  <c r="T46" i="1"/>
  <c r="Q46" i="1"/>
  <c r="N46" i="1"/>
  <c r="K46" i="1"/>
  <c r="H46" i="1"/>
  <c r="E46" i="1"/>
  <c r="F25" i="1"/>
  <c r="F26" i="1" s="1"/>
  <c r="AO27" i="1"/>
  <c r="AQ27" i="1" s="1"/>
  <c r="AR27" i="1"/>
  <c r="AR24" i="1"/>
  <c r="AR17" i="1"/>
  <c r="BH24" i="1"/>
  <c r="BH17" i="1"/>
  <c r="BG24" i="1"/>
  <c r="BG17" i="1"/>
  <c r="BF24" i="1"/>
  <c r="BF17" i="1"/>
  <c r="BE24" i="1"/>
  <c r="BE17" i="1"/>
  <c r="BD24" i="1"/>
  <c r="BD17" i="1"/>
  <c r="BC24" i="1"/>
  <c r="BC17" i="1"/>
  <c r="BB24" i="1"/>
  <c r="BB17" i="1"/>
  <c r="BA24" i="1"/>
  <c r="BA17" i="1"/>
  <c r="AZ24" i="1"/>
  <c r="AZ17" i="1"/>
  <c r="AY24" i="1"/>
  <c r="AY17" i="1"/>
  <c r="AX24" i="1"/>
  <c r="AX17" i="1"/>
  <c r="AW24" i="1"/>
  <c r="AW17" i="1"/>
  <c r="AO24" i="1"/>
  <c r="AP24" i="1"/>
  <c r="AO16" i="1"/>
  <c r="AY1" i="1"/>
  <c r="AP25" i="1" l="1"/>
  <c r="AP28" i="1" s="1"/>
  <c r="AQ24" i="1"/>
  <c r="BH20" i="1"/>
  <c r="CF20" i="1"/>
  <c r="G37" i="1"/>
  <c r="AM25" i="1"/>
  <c r="AU17" i="1"/>
  <c r="AO47" i="1"/>
  <c r="AC47" i="1"/>
  <c r="E48" i="1"/>
  <c r="E22" i="1" s="1"/>
  <c r="BI22" i="1" s="1"/>
  <c r="T47" i="1"/>
  <c r="AU24" i="1"/>
  <c r="AV24" i="1" s="1"/>
  <c r="AL47" i="1"/>
  <c r="AV17" i="1" l="1"/>
  <c r="K37" i="1"/>
  <c r="J37" i="1"/>
  <c r="E43" i="1"/>
  <c r="G43" i="1" s="1"/>
  <c r="G41" i="1"/>
  <c r="G22" i="1"/>
  <c r="AW26" i="1"/>
  <c r="H48" i="1"/>
  <c r="H41" i="1" s="1"/>
  <c r="H22" i="1" s="1"/>
  <c r="BJ22" i="1" l="1"/>
  <c r="J22" i="1"/>
  <c r="N37" i="1"/>
  <c r="M37" i="1"/>
  <c r="H43" i="1"/>
  <c r="J41" i="1"/>
  <c r="BH25" i="1"/>
  <c r="K48" i="1"/>
  <c r="K41" i="1" s="1"/>
  <c r="K22" i="1" s="1"/>
  <c r="BK22" i="1" s="1"/>
  <c r="P37" i="1" l="1"/>
  <c r="Q37" i="1"/>
  <c r="M22" i="1"/>
  <c r="K43" i="1"/>
  <c r="M41" i="1"/>
  <c r="N48" i="1"/>
  <c r="N22" i="1" s="1"/>
  <c r="N25" i="1" s="1"/>
  <c r="BL22" i="1" l="1"/>
  <c r="T37" i="1"/>
  <c r="S37" i="1"/>
  <c r="P22" i="1"/>
  <c r="H25" i="1"/>
  <c r="J25" i="1" s="1"/>
  <c r="N43" i="1"/>
  <c r="P41" i="1"/>
  <c r="K25" i="1"/>
  <c r="Q48" i="1"/>
  <c r="Q22" i="1" s="1"/>
  <c r="Q25" i="1" s="1"/>
  <c r="BM22" i="1" l="1"/>
  <c r="W37" i="1"/>
  <c r="V37" i="1"/>
  <c r="Q43" i="1"/>
  <c r="S41" i="1"/>
  <c r="M25" i="1"/>
  <c r="T48" i="1"/>
  <c r="Z37" i="1" l="1"/>
  <c r="Y37" i="1"/>
  <c r="P25" i="1"/>
  <c r="T22" i="1"/>
  <c r="T25" i="1" s="1"/>
  <c r="S22" i="1"/>
  <c r="W48" i="1"/>
  <c r="BN22" i="1" l="1"/>
  <c r="AB37" i="1"/>
  <c r="AC37" i="1"/>
  <c r="V41" i="1"/>
  <c r="S25" i="1"/>
  <c r="W22" i="1"/>
  <c r="T43" i="1"/>
  <c r="Z48" i="1"/>
  <c r="W25" i="1" l="1"/>
  <c r="Y25" i="1" s="1"/>
  <c r="Y22" i="1"/>
  <c r="BO22" i="1"/>
  <c r="AE37" i="1"/>
  <c r="AF37" i="1"/>
  <c r="AI37" i="1" s="1"/>
  <c r="Y41" i="1"/>
  <c r="Z22" i="1"/>
  <c r="W43" i="1"/>
  <c r="V22" i="1"/>
  <c r="AC48" i="1"/>
  <c r="Z25" i="1" l="1"/>
  <c r="AB25" i="1" s="1"/>
  <c r="AB22" i="1"/>
  <c r="BP22" i="1"/>
  <c r="AH37" i="1"/>
  <c r="AB41" i="1"/>
  <c r="AC22" i="1"/>
  <c r="Z43" i="1"/>
  <c r="V25" i="1"/>
  <c r="AF48" i="1"/>
  <c r="AC25" i="1" l="1"/>
  <c r="AE25" i="1" s="1"/>
  <c r="AE22" i="1"/>
  <c r="BQ22" i="1"/>
  <c r="AL37" i="1"/>
  <c r="AN37" i="1" s="1"/>
  <c r="AK37" i="1"/>
  <c r="AE41" i="1"/>
  <c r="AF22" i="1"/>
  <c r="AC43" i="1"/>
  <c r="AI48" i="1"/>
  <c r="AF25" i="1" l="1"/>
  <c r="AH25" i="1" s="1"/>
  <c r="AH22" i="1"/>
  <c r="BR22" i="1"/>
  <c r="AO22" i="1" s="1"/>
  <c r="AH41" i="1"/>
  <c r="AI41" i="1"/>
  <c r="AI22" i="1" s="1"/>
  <c r="AF43" i="1"/>
  <c r="AL48" i="1"/>
  <c r="AO25" i="1" l="1"/>
  <c r="AQ22" i="1"/>
  <c r="AI25" i="1"/>
  <c r="AK25" i="1" s="1"/>
  <c r="AK22" i="1"/>
  <c r="BS22" i="1"/>
  <c r="AK41" i="1"/>
  <c r="AL41" i="1"/>
  <c r="AL22" i="1" s="1"/>
  <c r="BF22" i="1" s="1"/>
  <c r="AI43" i="1"/>
  <c r="AO28" i="1" l="1"/>
  <c r="AQ28" i="1" s="1"/>
  <c r="AQ25" i="1"/>
  <c r="AL25" i="1"/>
  <c r="AN25" i="1" s="1"/>
  <c r="AN22" i="1"/>
  <c r="BT22" i="1"/>
  <c r="AN41" i="1"/>
  <c r="AN43" i="1" s="1"/>
  <c r="BB22" i="1"/>
  <c r="AL43" i="1"/>
  <c r="BD22" i="1" l="1"/>
  <c r="AW22" i="1"/>
  <c r="BA22" i="1"/>
  <c r="BG22" i="1"/>
  <c r="AZ22" i="1"/>
  <c r="AX25" i="1"/>
  <c r="AX22" i="1"/>
  <c r="BE22" i="1"/>
  <c r="BC22" i="1"/>
  <c r="AY22" i="1"/>
  <c r="AU22" i="1" l="1"/>
  <c r="AV22" i="1" s="1"/>
  <c r="AZ25" i="1"/>
  <c r="BA25" i="1"/>
  <c r="BE25" i="1"/>
  <c r="BD25" i="1"/>
  <c r="AY25" i="1"/>
  <c r="BG25" i="1"/>
  <c r="BC25" i="1"/>
  <c r="AW25" i="1"/>
  <c r="BF25" i="1"/>
  <c r="BB25" i="1"/>
  <c r="E53" i="1" l="1"/>
  <c r="F28" i="1" l="1"/>
  <c r="H53" i="1"/>
  <c r="AX34" i="1"/>
  <c r="F44" i="1"/>
  <c r="H28" i="1" l="1"/>
  <c r="K53" i="1"/>
  <c r="I28" i="1"/>
  <c r="L26" i="1" s="1"/>
  <c r="AY34" i="1"/>
  <c r="BC23" i="1"/>
  <c r="BB23" i="1"/>
  <c r="AZ23" i="1"/>
  <c r="AX23" i="1"/>
  <c r="BA23" i="1"/>
  <c r="BG23" i="1"/>
  <c r="G23" i="1"/>
  <c r="AW23" i="1"/>
  <c r="F27" i="1"/>
  <c r="AW27" i="1" s="1"/>
  <c r="I26" i="1"/>
  <c r="BH23" i="1"/>
  <c r="BF23" i="1"/>
  <c r="BE23" i="1"/>
  <c r="BD23" i="1"/>
  <c r="AY23" i="1"/>
  <c r="AU23" i="1" l="1"/>
  <c r="AV23" i="1" s="1"/>
  <c r="AY26" i="1"/>
  <c r="N53" i="1"/>
  <c r="AZ34" i="1"/>
  <c r="L28" i="1"/>
  <c r="O26" i="1" s="1"/>
  <c r="AX26" i="1"/>
  <c r="I27" i="1"/>
  <c r="AX27" i="1" s="1"/>
  <c r="E25" i="1"/>
  <c r="AU25" i="1" l="1"/>
  <c r="AZ26" i="1"/>
  <c r="L27" i="1"/>
  <c r="AY27" i="1" s="1"/>
  <c r="Q53" i="1"/>
  <c r="O28" i="1"/>
  <c r="R26" i="1" s="1"/>
  <c r="BA34" i="1"/>
  <c r="G25" i="1"/>
  <c r="E52" i="1"/>
  <c r="AV25" i="1" l="1"/>
  <c r="BB34" i="1"/>
  <c r="R28" i="1"/>
  <c r="U26" i="1" s="1"/>
  <c r="T53" i="1"/>
  <c r="BA26" i="1"/>
  <c r="O27" i="1"/>
  <c r="AZ27" i="1" s="1"/>
  <c r="AX33" i="1"/>
  <c r="H52" i="1"/>
  <c r="E26" i="1"/>
  <c r="E35" i="1" s="1"/>
  <c r="R27" i="1" l="1"/>
  <c r="BA27" i="1" s="1"/>
  <c r="BC34" i="1"/>
  <c r="U28" i="1"/>
  <c r="X26" i="1" s="1"/>
  <c r="W53" i="1"/>
  <c r="BB26" i="1"/>
  <c r="G26" i="1"/>
  <c r="H26" i="1"/>
  <c r="J26" i="1" s="1"/>
  <c r="K52" i="1"/>
  <c r="AY33" i="1"/>
  <c r="U27" i="1" l="1"/>
  <c r="BB27" i="1" s="1"/>
  <c r="BD34" i="1"/>
  <c r="X28" i="1"/>
  <c r="AA26" i="1" s="1"/>
  <c r="Z53" i="1"/>
  <c r="AA28" i="1" s="1"/>
  <c r="AD26" i="1" s="1"/>
  <c r="BC26" i="1"/>
  <c r="K26" i="1"/>
  <c r="AZ33" i="1"/>
  <c r="N52" i="1"/>
  <c r="H35" i="1"/>
  <c r="E36" i="1"/>
  <c r="G35" i="1"/>
  <c r="G36" i="1" s="1"/>
  <c r="AA27" i="1" l="1"/>
  <c r="X27" i="1"/>
  <c r="BC27" i="1" s="1"/>
  <c r="AC53" i="1"/>
  <c r="BE34" i="1"/>
  <c r="BD26" i="1"/>
  <c r="N26" i="1"/>
  <c r="Q52" i="1"/>
  <c r="BA33" i="1"/>
  <c r="H36" i="1"/>
  <c r="J35" i="1"/>
  <c r="J36" i="1" s="1"/>
  <c r="K35" i="1"/>
  <c r="M26" i="1"/>
  <c r="BD27" i="1" l="1"/>
  <c r="BF34" i="1"/>
  <c r="AF53" i="1"/>
  <c r="AD28" i="1"/>
  <c r="AG26" i="1" s="1"/>
  <c r="BE26" i="1"/>
  <c r="BB33" i="1"/>
  <c r="T52" i="1"/>
  <c r="Q26" i="1"/>
  <c r="K36" i="1"/>
  <c r="M35" i="1"/>
  <c r="M36" i="1" s="1"/>
  <c r="N35" i="1"/>
  <c r="P26" i="1"/>
  <c r="BF26" i="1" l="1"/>
  <c r="BG34" i="1"/>
  <c r="AG28" i="1"/>
  <c r="AJ26" i="1" s="1"/>
  <c r="AI53" i="1"/>
  <c r="AD27" i="1"/>
  <c r="BE27" i="1" s="1"/>
  <c r="Q35" i="1"/>
  <c r="S26" i="1"/>
  <c r="N36" i="1"/>
  <c r="P35" i="1"/>
  <c r="P36" i="1" s="1"/>
  <c r="T26" i="1"/>
  <c r="W52" i="1"/>
  <c r="BC33" i="1"/>
  <c r="BG26" i="1" l="1"/>
  <c r="AG27" i="1"/>
  <c r="BF27" i="1" s="1"/>
  <c r="AU27" i="1" s="1"/>
  <c r="AL53" i="1"/>
  <c r="BH34" i="1"/>
  <c r="AJ28" i="1"/>
  <c r="AJ27" i="1" s="1"/>
  <c r="W26" i="1"/>
  <c r="Y26" i="1" s="1"/>
  <c r="BD33" i="1"/>
  <c r="Z52" i="1"/>
  <c r="T35" i="1"/>
  <c r="V26" i="1"/>
  <c r="Q36" i="1"/>
  <c r="S35" i="1"/>
  <c r="S36" i="1" s="1"/>
  <c r="AM26" i="1" l="1"/>
  <c r="BH26" i="1" s="1"/>
  <c r="BG27" i="1"/>
  <c r="AV27" i="1"/>
  <c r="AU28" i="1"/>
  <c r="AV28" i="1" s="1"/>
  <c r="BI34" i="1"/>
  <c r="AM28" i="1"/>
  <c r="T36" i="1"/>
  <c r="V35" i="1"/>
  <c r="V36" i="1" s="1"/>
  <c r="Z26" i="1"/>
  <c r="AB26" i="1" s="1"/>
  <c r="AC52" i="1"/>
  <c r="BE33" i="1"/>
  <c r="W35" i="1"/>
  <c r="AM27" i="1" l="1"/>
  <c r="BH27" i="1" s="1"/>
  <c r="BF33" i="1"/>
  <c r="AF52" i="1"/>
  <c r="AC26" i="1"/>
  <c r="AE26" i="1" s="1"/>
  <c r="Z35" i="1"/>
  <c r="W36" i="1"/>
  <c r="Y35" i="1"/>
  <c r="Y36" i="1" s="1"/>
  <c r="AF26" i="1" l="1"/>
  <c r="AH26" i="1" s="1"/>
  <c r="BG33" i="1"/>
  <c r="AI52" i="1"/>
  <c r="Z36" i="1"/>
  <c r="AB35" i="1"/>
  <c r="AB36" i="1" s="1"/>
  <c r="AC35" i="1"/>
  <c r="AI26" i="1" l="1"/>
  <c r="AK26" i="1" s="1"/>
  <c r="BH33" i="1"/>
  <c r="AL52" i="1"/>
  <c r="AC36" i="1"/>
  <c r="AE35" i="1"/>
  <c r="AE36" i="1" s="1"/>
  <c r="AF35" i="1"/>
  <c r="AL26" i="1" l="1"/>
  <c r="AN26" i="1" s="1"/>
  <c r="BI33" i="1"/>
  <c r="AF36" i="1"/>
  <c r="AH35" i="1"/>
  <c r="AH36" i="1" s="1"/>
  <c r="AI35" i="1"/>
  <c r="AI36" i="1" l="1"/>
  <c r="AK35" i="1"/>
  <c r="AK36" i="1" s="1"/>
  <c r="AL35" i="1"/>
  <c r="AN35" i="1" l="1"/>
  <c r="AN36" i="1" s="1"/>
  <c r="AL36" i="1"/>
  <c r="L6" i="4" l="1"/>
  <c r="M6" i="4"/>
  <c r="K7" i="4" s="1"/>
  <c r="J7" i="4" l="1"/>
  <c r="L7" i="4" s="1"/>
  <c r="M7" i="4" l="1"/>
  <c r="K8" i="4" s="1"/>
  <c r="J8" i="4" l="1"/>
  <c r="L8" i="4" s="1"/>
  <c r="M8" i="4" l="1"/>
  <c r="K9" i="4" s="1"/>
  <c r="J9" i="4" s="1"/>
  <c r="L9" i="4" s="1"/>
  <c r="M9" i="4" l="1"/>
  <c r="K10" i="4" s="1"/>
  <c r="J10" i="4" l="1"/>
  <c r="L10" i="4" s="1"/>
  <c r="M10" i="4" l="1"/>
  <c r="K11" i="4" s="1"/>
  <c r="J11" i="4" s="1"/>
  <c r="L11" i="4" s="1"/>
  <c r="M11" i="4" l="1"/>
  <c r="K12" i="4" s="1"/>
  <c r="J12" i="4" l="1"/>
  <c r="L12" i="4" s="1"/>
  <c r="M12" i="4" l="1"/>
  <c r="K13" i="4" s="1"/>
  <c r="J13" i="4" s="1"/>
  <c r="L13" i="4" s="1"/>
  <c r="M13" i="4" l="1"/>
  <c r="K14" i="4" s="1"/>
  <c r="J14" i="4" l="1"/>
  <c r="L14" i="4" s="1"/>
  <c r="M14" i="4" l="1"/>
  <c r="K15" i="4" s="1"/>
  <c r="J15" i="4" s="1"/>
  <c r="L15" i="4" l="1"/>
  <c r="M15" i="4"/>
  <c r="K16" i="4" s="1"/>
  <c r="J16" i="4" l="1"/>
  <c r="L16" i="4" s="1"/>
  <c r="M16" i="4" l="1"/>
  <c r="K17" i="4" s="1"/>
  <c r="J17" i="4" s="1"/>
  <c r="M17" i="4" l="1"/>
  <c r="K18" i="4" s="1"/>
  <c r="J18" i="4" s="1"/>
  <c r="L18" i="4" s="1"/>
  <c r="L17" i="4"/>
  <c r="M18" i="4" l="1"/>
  <c r="K19" i="4" s="1"/>
  <c r="J19" i="4" s="1"/>
  <c r="L19" i="4" l="1"/>
  <c r="M19" i="4" l="1"/>
  <c r="K20" i="4" s="1"/>
  <c r="J20" i="4" s="1"/>
  <c r="M20" i="4" l="1"/>
  <c r="K21" i="4" l="1"/>
  <c r="J21" i="4" s="1"/>
  <c r="L20" i="4"/>
  <c r="M21" i="4" l="1"/>
  <c r="K22" i="4" l="1"/>
  <c r="J22" i="4" s="1"/>
  <c r="L21" i="4"/>
  <c r="M22" i="4" l="1"/>
  <c r="K23" i="4" l="1"/>
  <c r="J23" i="4" s="1"/>
  <c r="L22" i="4"/>
  <c r="M23" i="4" l="1"/>
  <c r="K24" i="4" l="1"/>
  <c r="J24" i="4" s="1"/>
  <c r="L23" i="4"/>
  <c r="M24" i="4" l="1"/>
  <c r="K25" i="4" l="1"/>
  <c r="J25" i="4" s="1"/>
  <c r="L24" i="4"/>
  <c r="M25" i="4" l="1"/>
  <c r="K26" i="4" l="1"/>
  <c r="J26" i="4" s="1"/>
  <c r="L25" i="4"/>
  <c r="M26" i="4" l="1"/>
  <c r="K27" i="4" l="1"/>
  <c r="J27" i="4" s="1"/>
  <c r="L26" i="4"/>
  <c r="M27" i="4" l="1"/>
  <c r="K28" i="4" l="1"/>
  <c r="J28" i="4" s="1"/>
  <c r="L27" i="4"/>
  <c r="M28" i="4" l="1"/>
  <c r="K29" i="4" l="1"/>
  <c r="J29" i="4" s="1"/>
  <c r="L28" i="4"/>
  <c r="M29" i="4" l="1"/>
  <c r="K30" i="4" l="1"/>
  <c r="J30" i="4" s="1"/>
  <c r="L29" i="4"/>
  <c r="M30" i="4" l="1"/>
  <c r="L30" i="4" l="1"/>
  <c r="K31" i="4"/>
  <c r="J31" i="4" s="1"/>
  <c r="M31" i="4" l="1"/>
  <c r="K32" i="4" l="1"/>
  <c r="J32" i="4" s="1"/>
  <c r="L31" i="4"/>
  <c r="M32" i="4" l="1"/>
  <c r="K33" i="4" l="1"/>
  <c r="J33" i="4" s="1"/>
  <c r="L32" i="4"/>
  <c r="M33" i="4" l="1"/>
  <c r="K34" i="4" l="1"/>
  <c r="J34" i="4" s="1"/>
  <c r="L33" i="4"/>
  <c r="M34" i="4" l="1"/>
  <c r="K35" i="4" l="1"/>
  <c r="J35" i="4" s="1"/>
  <c r="L34" i="4"/>
  <c r="M35" i="4" l="1"/>
  <c r="K36" i="4" l="1"/>
  <c r="J36" i="4" s="1"/>
  <c r="L35" i="4"/>
  <c r="M36" i="4" l="1"/>
  <c r="K37" i="4" l="1"/>
  <c r="J37" i="4" s="1"/>
  <c r="L36" i="4"/>
  <c r="M37" i="4" l="1"/>
  <c r="K38" i="4" l="1"/>
  <c r="J38" i="4" s="1"/>
  <c r="L37" i="4"/>
  <c r="M38" i="4" l="1"/>
  <c r="K39" i="4" l="1"/>
  <c r="J39" i="4" s="1"/>
  <c r="L38" i="4"/>
  <c r="M39" i="4" l="1"/>
  <c r="K40" i="4" l="1"/>
  <c r="J40" i="4" s="1"/>
  <c r="L39" i="4"/>
  <c r="M40" i="4" l="1"/>
  <c r="K41" i="4" l="1"/>
  <c r="J41" i="4" s="1"/>
  <c r="L40" i="4"/>
  <c r="M41" i="4" l="1"/>
  <c r="K42" i="4" l="1"/>
  <c r="J42" i="4" s="1"/>
  <c r="L41" i="4"/>
  <c r="M42" i="4" l="1"/>
  <c r="K43" i="4" l="1"/>
  <c r="J43" i="4" s="1"/>
  <c r="L42" i="4"/>
  <c r="M43" i="4" l="1"/>
  <c r="K44" i="4" l="1"/>
  <c r="J44" i="4" s="1"/>
  <c r="L43" i="4"/>
  <c r="M44" i="4" l="1"/>
  <c r="K45" i="4" l="1"/>
  <c r="J45" i="4" s="1"/>
  <c r="L44" i="4"/>
  <c r="M45" i="4" l="1"/>
  <c r="K46" i="4" l="1"/>
  <c r="J46" i="4" s="1"/>
  <c r="L45" i="4"/>
  <c r="M46" i="4" l="1"/>
  <c r="L46" i="4" l="1"/>
  <c r="K47" i="4"/>
  <c r="J47" i="4" s="1"/>
  <c r="M47" i="4" l="1"/>
  <c r="K48" i="4" l="1"/>
  <c r="J48" i="4" s="1"/>
  <c r="L47" i="4"/>
  <c r="M48" i="4" l="1"/>
  <c r="K49" i="4" l="1"/>
  <c r="J49" i="4" s="1"/>
  <c r="L48" i="4"/>
  <c r="M49" i="4" l="1"/>
  <c r="K50" i="4" l="1"/>
  <c r="J50" i="4" s="1"/>
  <c r="L49" i="4"/>
  <c r="M50" i="4" l="1"/>
  <c r="K51" i="4" l="1"/>
  <c r="J51" i="4" s="1"/>
  <c r="L50" i="4"/>
  <c r="M51" i="4" l="1"/>
  <c r="K52" i="4" l="1"/>
  <c r="J52" i="4" s="1"/>
  <c r="L51" i="4"/>
  <c r="M52" i="4" l="1"/>
  <c r="K53" i="4" l="1"/>
  <c r="J53" i="4" s="1"/>
  <c r="L52" i="4"/>
  <c r="M53" i="4" l="1"/>
  <c r="K54" i="4" l="1"/>
  <c r="J54" i="4" s="1"/>
  <c r="L53" i="4"/>
  <c r="M54" i="4" l="1"/>
  <c r="K55" i="4" l="1"/>
  <c r="J55" i="4" s="1"/>
  <c r="L54" i="4"/>
  <c r="M55" i="4" l="1"/>
  <c r="K56" i="4" l="1"/>
  <c r="J56" i="4" s="1"/>
  <c r="L55" i="4"/>
  <c r="M56" i="4" l="1"/>
  <c r="K57" i="4" l="1"/>
  <c r="J57" i="4" s="1"/>
  <c r="L56" i="4"/>
  <c r="M57" i="4" l="1"/>
  <c r="K58" i="4" l="1"/>
  <c r="J58" i="4" s="1"/>
  <c r="L57" i="4"/>
  <c r="M58" i="4" l="1"/>
  <c r="K59" i="4" l="1"/>
  <c r="J59" i="4" s="1"/>
  <c r="L58" i="4"/>
  <c r="M59" i="4" l="1"/>
  <c r="K60" i="4" l="1"/>
  <c r="J60" i="4" s="1"/>
  <c r="L59" i="4"/>
  <c r="M60" i="4" l="1"/>
  <c r="K61" i="4" l="1"/>
  <c r="J61" i="4" s="1"/>
  <c r="L60" i="4"/>
  <c r="M61" i="4" l="1"/>
  <c r="K62" i="4" l="1"/>
  <c r="J62" i="4" s="1"/>
  <c r="L61" i="4"/>
  <c r="M62" i="4" l="1"/>
  <c r="K63" i="4" l="1"/>
  <c r="J63" i="4" s="1"/>
  <c r="L62" i="4"/>
  <c r="M63" i="4" l="1"/>
  <c r="K64" i="4" l="1"/>
  <c r="J64" i="4" s="1"/>
  <c r="L63" i="4"/>
  <c r="M64" i="4" l="1"/>
  <c r="L64" i="4" l="1"/>
  <c r="K65" i="4"/>
  <c r="J65" i="4" s="1"/>
  <c r="M65" i="4" l="1"/>
  <c r="K66" i="4" l="1"/>
  <c r="J66" i="4" s="1"/>
  <c r="L65" i="4"/>
  <c r="M66" i="4" l="1"/>
  <c r="K67" i="4" l="1"/>
  <c r="J67" i="4" s="1"/>
  <c r="L66" i="4"/>
  <c r="M67" i="4" l="1"/>
  <c r="K68" i="4" l="1"/>
  <c r="J68" i="4" s="1"/>
  <c r="L67" i="4"/>
  <c r="M68" i="4" l="1"/>
  <c r="K69" i="4" l="1"/>
  <c r="J69" i="4" s="1"/>
  <c r="L68" i="4"/>
  <c r="M69" i="4" l="1"/>
  <c r="K70" i="4" l="1"/>
  <c r="J70" i="4" s="1"/>
  <c r="L69" i="4"/>
  <c r="M70" i="4" l="1"/>
  <c r="L70" i="4" l="1"/>
  <c r="K71" i="4"/>
  <c r="J71" i="4" s="1"/>
  <c r="M71" i="4" l="1"/>
  <c r="K72" i="4" l="1"/>
  <c r="J72" i="4" s="1"/>
  <c r="L71" i="4"/>
  <c r="M72" i="4" l="1"/>
  <c r="L72" i="4" l="1"/>
  <c r="K73" i="4"/>
  <c r="J73" i="4" s="1"/>
  <c r="M73" i="4" l="1"/>
  <c r="K74" i="4" l="1"/>
  <c r="J74" i="4" s="1"/>
  <c r="L73" i="4"/>
  <c r="M74" i="4" l="1"/>
  <c r="K75" i="4" l="1"/>
  <c r="J75" i="4" s="1"/>
  <c r="L74" i="4"/>
  <c r="M75" i="4" l="1"/>
  <c r="K76" i="4" l="1"/>
  <c r="J76" i="4" s="1"/>
  <c r="L75" i="4"/>
  <c r="M76" i="4" l="1"/>
  <c r="K77" i="4" l="1"/>
  <c r="J77" i="4" s="1"/>
  <c r="L76" i="4"/>
  <c r="M77" i="4" l="1"/>
  <c r="K78" i="4" l="1"/>
  <c r="J78" i="4" s="1"/>
  <c r="L77" i="4"/>
  <c r="M78" i="4" l="1"/>
  <c r="K79" i="4" l="1"/>
  <c r="J79" i="4" s="1"/>
  <c r="L78" i="4"/>
  <c r="M79" i="4" l="1"/>
  <c r="K80" i="4" l="1"/>
  <c r="J80" i="4" s="1"/>
  <c r="L79" i="4"/>
  <c r="M80" i="4" l="1"/>
  <c r="K81" i="4" l="1"/>
  <c r="J81" i="4" s="1"/>
  <c r="L80" i="4"/>
  <c r="M81" i="4" l="1"/>
  <c r="K82" i="4" l="1"/>
  <c r="J82" i="4" s="1"/>
  <c r="L81" i="4"/>
  <c r="M82" i="4" l="1"/>
  <c r="K83" i="4" l="1"/>
  <c r="J83" i="4" s="1"/>
  <c r="L82" i="4"/>
  <c r="M83" i="4" l="1"/>
  <c r="K84" i="4" l="1"/>
  <c r="J84" i="4" s="1"/>
  <c r="L83" i="4"/>
  <c r="M84" i="4" l="1"/>
  <c r="K85" i="4" l="1"/>
  <c r="J85" i="4" s="1"/>
  <c r="L84" i="4"/>
  <c r="M85" i="4" l="1"/>
  <c r="K86" i="4" l="1"/>
  <c r="J86" i="4" s="1"/>
  <c r="L85" i="4"/>
  <c r="M86" i="4" l="1"/>
  <c r="K87" i="4" l="1"/>
  <c r="J87" i="4" s="1"/>
  <c r="L86" i="4"/>
  <c r="M87" i="4" l="1"/>
  <c r="K88" i="4" l="1"/>
  <c r="J88" i="4" s="1"/>
  <c r="L87" i="4"/>
  <c r="M88" i="4" l="1"/>
  <c r="K89" i="4" l="1"/>
  <c r="J89" i="4" s="1"/>
  <c r="L88" i="4"/>
  <c r="M89" i="4" l="1"/>
  <c r="K90" i="4" l="1"/>
  <c r="J90" i="4" s="1"/>
  <c r="L89" i="4"/>
  <c r="M90" i="4" l="1"/>
  <c r="K91" i="4" l="1"/>
  <c r="J91" i="4" s="1"/>
  <c r="L90" i="4"/>
  <c r="M91" i="4" l="1"/>
  <c r="K92" i="4" l="1"/>
  <c r="J92" i="4" s="1"/>
  <c r="L91" i="4"/>
  <c r="M92" i="4" l="1"/>
  <c r="K93" i="4" l="1"/>
  <c r="J93" i="4" s="1"/>
  <c r="L92" i="4"/>
  <c r="M93" i="4" l="1"/>
  <c r="K94" i="4" l="1"/>
  <c r="J94" i="4" s="1"/>
  <c r="L93" i="4"/>
  <c r="M94" i="4" l="1"/>
  <c r="K95" i="4" l="1"/>
  <c r="J95" i="4" s="1"/>
  <c r="L94" i="4"/>
  <c r="M95" i="4" l="1"/>
  <c r="K96" i="4" l="1"/>
  <c r="J96" i="4" s="1"/>
  <c r="L95" i="4"/>
  <c r="M96" i="4" l="1"/>
  <c r="K97" i="4" l="1"/>
  <c r="J97" i="4" s="1"/>
  <c r="L96" i="4"/>
  <c r="M97" i="4" l="1"/>
  <c r="K98" i="4" l="1"/>
  <c r="J98" i="4" s="1"/>
  <c r="L97" i="4"/>
  <c r="M98" i="4" l="1"/>
  <c r="K99" i="4" l="1"/>
  <c r="J99" i="4" s="1"/>
  <c r="L98" i="4"/>
  <c r="M99" i="4" l="1"/>
  <c r="K100" i="4" l="1"/>
  <c r="J100" i="4" s="1"/>
  <c r="L99" i="4"/>
  <c r="M100" i="4" l="1"/>
  <c r="K101" i="4" l="1"/>
  <c r="J101" i="4" s="1"/>
  <c r="L100" i="4"/>
  <c r="M101" i="4" l="1"/>
  <c r="K102" i="4" l="1"/>
  <c r="J102" i="4" s="1"/>
  <c r="L101" i="4"/>
  <c r="M102" i="4" l="1"/>
  <c r="K103" i="4" l="1"/>
  <c r="J103" i="4" s="1"/>
  <c r="L102" i="4"/>
  <c r="M103" i="4" l="1"/>
  <c r="K104" i="4" l="1"/>
  <c r="J104" i="4" s="1"/>
  <c r="L103" i="4"/>
  <c r="M104" i="4" l="1"/>
  <c r="K105" i="4" l="1"/>
  <c r="J105" i="4" s="1"/>
  <c r="L104" i="4"/>
  <c r="M105" i="4" l="1"/>
  <c r="K106" i="4" l="1"/>
  <c r="J106" i="4" s="1"/>
  <c r="L105" i="4"/>
  <c r="M106" i="4" l="1"/>
  <c r="K107" i="4" l="1"/>
  <c r="J107" i="4" s="1"/>
  <c r="L106" i="4"/>
  <c r="M107" i="4" l="1"/>
  <c r="K108" i="4" l="1"/>
  <c r="J108" i="4" s="1"/>
  <c r="L107" i="4"/>
  <c r="M108" i="4" l="1"/>
  <c r="K109" i="4" l="1"/>
  <c r="J109" i="4" s="1"/>
  <c r="L108" i="4"/>
  <c r="M109" i="4" l="1"/>
  <c r="K110" i="4" l="1"/>
  <c r="J110" i="4" s="1"/>
  <c r="L109" i="4"/>
  <c r="M110" i="4" l="1"/>
  <c r="K111" i="4" l="1"/>
  <c r="J111" i="4" s="1"/>
  <c r="L110" i="4"/>
  <c r="M111" i="4" l="1"/>
  <c r="K112" i="4" l="1"/>
  <c r="J112" i="4" s="1"/>
  <c r="L111" i="4"/>
  <c r="M112" i="4" l="1"/>
  <c r="K113" i="4" l="1"/>
  <c r="J113" i="4" s="1"/>
  <c r="L112" i="4"/>
  <c r="M113" i="4" l="1"/>
  <c r="K114" i="4" l="1"/>
  <c r="J114" i="4" s="1"/>
  <c r="L113" i="4"/>
  <c r="M114" i="4" l="1"/>
  <c r="K115" i="4" l="1"/>
  <c r="J115" i="4" s="1"/>
  <c r="L114" i="4"/>
  <c r="M115" i="4" l="1"/>
  <c r="K116" i="4" l="1"/>
  <c r="J116" i="4" s="1"/>
  <c r="L115" i="4"/>
  <c r="M116" i="4" l="1"/>
  <c r="K117" i="4" l="1"/>
  <c r="J117" i="4" s="1"/>
  <c r="L116" i="4"/>
  <c r="M117" i="4" l="1"/>
  <c r="K118" i="4" l="1"/>
  <c r="J118" i="4" s="1"/>
  <c r="L117" i="4"/>
  <c r="M118" i="4" l="1"/>
  <c r="K119" i="4" l="1"/>
  <c r="J119" i="4" s="1"/>
  <c r="L118" i="4"/>
  <c r="M119" i="4" l="1"/>
  <c r="K120" i="4" l="1"/>
  <c r="J120" i="4" s="1"/>
  <c r="L119" i="4"/>
  <c r="M120" i="4" l="1"/>
  <c r="K121" i="4" l="1"/>
  <c r="J121" i="4" s="1"/>
  <c r="L120" i="4"/>
  <c r="M121" i="4" l="1"/>
  <c r="K122" i="4" l="1"/>
  <c r="J122" i="4" s="1"/>
  <c r="L121" i="4"/>
  <c r="M122" i="4" l="1"/>
  <c r="K123" i="4" l="1"/>
  <c r="J123" i="4" s="1"/>
  <c r="L122" i="4"/>
  <c r="M123" i="4" l="1"/>
  <c r="K124" i="4" l="1"/>
  <c r="J124" i="4" s="1"/>
  <c r="L123" i="4"/>
  <c r="M124" i="4" l="1"/>
  <c r="K125" i="4" l="1"/>
  <c r="T10" i="4" s="1"/>
  <c r="T12" i="4" s="1"/>
  <c r="L124" i="4"/>
  <c r="J125" i="4" l="1"/>
  <c r="M125" i="4" s="1"/>
  <c r="L125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23" authorId="0" shapeId="0" xr:uid="{00000000-0006-0000-0000-000001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  <comment ref="B43" authorId="0" shapeId="0" xr:uid="{00000000-0006-0000-0000-000002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23" authorId="0" shapeId="0" xr:uid="{00000000-0006-0000-0100-000001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  <comment ref="B43" authorId="0" shapeId="0" xr:uid="{00000000-0006-0000-0100-000002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23" authorId="0" shapeId="0" xr:uid="{00000000-0006-0000-0200-000001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  <comment ref="B43" authorId="0" shapeId="0" xr:uid="{00000000-0006-0000-0200-000002000000}">
      <text>
        <r>
          <rPr>
            <b/>
            <sz val="10"/>
            <color rgb="FF000000"/>
            <rFont val="Calibri"/>
            <family val="2"/>
          </rPr>
          <t>Microsoft Office User:</t>
        </r>
        <r>
          <rPr>
            <sz val="10"/>
            <color rgb="FF000000"/>
            <rFont val="Calibri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>skub udgifter foran realiseret, det er budget teknisk</t>
        </r>
      </text>
    </comment>
  </commentList>
</comments>
</file>

<file path=xl/sharedStrings.xml><?xml version="1.0" encoding="utf-8"?>
<sst xmlns="http://schemas.openxmlformats.org/spreadsheetml/2006/main" count="605" uniqueCount="132">
  <si>
    <t>Maj</t>
  </si>
  <si>
    <t>Afv</t>
  </si>
  <si>
    <t>Real</t>
  </si>
  <si>
    <t>Moms</t>
  </si>
  <si>
    <t>Diff</t>
  </si>
  <si>
    <t>Likvider i alt ultimo måneden</t>
  </si>
  <si>
    <t>Månedens ændring i likvider i alt</t>
  </si>
  <si>
    <t>Ændring i Balanceposter i forhold til sidste måned</t>
  </si>
  <si>
    <t>Juli</t>
  </si>
  <si>
    <t>August</t>
  </si>
  <si>
    <t>September</t>
  </si>
  <si>
    <t>Oktober</t>
  </si>
  <si>
    <t>November</t>
  </si>
  <si>
    <t>December</t>
  </si>
  <si>
    <t>Januar</t>
  </si>
  <si>
    <t>Februar</t>
  </si>
  <si>
    <t>Marts</t>
  </si>
  <si>
    <t>April</t>
  </si>
  <si>
    <t>Juni</t>
  </si>
  <si>
    <t>Prognose</t>
  </si>
  <si>
    <t>Realiserede måneder</t>
  </si>
  <si>
    <t>Rest budgetmåneder</t>
  </si>
  <si>
    <t>Beregning af prognose: Realiserede måneder + resterende budgetterede</t>
  </si>
  <si>
    <t>Årets ændring i likvider</t>
  </si>
  <si>
    <t>Primo</t>
  </si>
  <si>
    <t>Likvider i alt ultimo året</t>
  </si>
  <si>
    <t>Afvigelse</t>
  </si>
  <si>
    <t>Jan</t>
  </si>
  <si>
    <t>Feb</t>
  </si>
  <si>
    <t>Mar</t>
  </si>
  <si>
    <t>Apr</t>
  </si>
  <si>
    <t>Jun</t>
  </si>
  <si>
    <t>Jul</t>
  </si>
  <si>
    <t>Aug</t>
  </si>
  <si>
    <t>Sep</t>
  </si>
  <si>
    <t>Okt</t>
  </si>
  <si>
    <t>Nov</t>
  </si>
  <si>
    <t>Dec</t>
  </si>
  <si>
    <t>Realiseret indbetalt resultat (modsat fortegn)</t>
  </si>
  <si>
    <t>JanBudget</t>
  </si>
  <si>
    <t>FebBudget</t>
  </si>
  <si>
    <t>MarBudget</t>
  </si>
  <si>
    <t>AprBudget</t>
  </si>
  <si>
    <t>MajBudget</t>
  </si>
  <si>
    <t>JunBudget</t>
  </si>
  <si>
    <t>JulBudget</t>
  </si>
  <si>
    <t>AugBudget</t>
  </si>
  <si>
    <t>SepBudget</t>
  </si>
  <si>
    <t>OktBudget</t>
  </si>
  <si>
    <t>NovBudget</t>
  </si>
  <si>
    <t>DecBudget</t>
  </si>
  <si>
    <t>Sum af linjer med moms angivet</t>
  </si>
  <si>
    <t>Moms 25 % af linjer med moms</t>
  </si>
  <si>
    <t>Ultimo tilsvar</t>
  </si>
  <si>
    <t>2. kvartal</t>
  </si>
  <si>
    <t>3. kvartal</t>
  </si>
  <si>
    <t>4. kvartal</t>
  </si>
  <si>
    <t>1. kvartal</t>
  </si>
  <si>
    <t>Forrige kvartal</t>
  </si>
  <si>
    <t>BANK + KASSE likvider i alt ultimo måneden</t>
  </si>
  <si>
    <t>BALANCE</t>
  </si>
  <si>
    <t>PRIMO</t>
  </si>
  <si>
    <t>Moms saldo budget</t>
  </si>
  <si>
    <t>Moms betalt(-)/tilbagebetalt(+)</t>
  </si>
  <si>
    <t>Budget saldo likviditet</t>
  </si>
  <si>
    <t>Prognose saldo likviditet</t>
  </si>
  <si>
    <t>Likvider budget</t>
  </si>
  <si>
    <t>Likvider prognose</t>
  </si>
  <si>
    <t>MOMS</t>
  </si>
  <si>
    <t>SALDI</t>
  </si>
  <si>
    <t>Kreditor %</t>
  </si>
  <si>
    <t>Debitor %</t>
  </si>
  <si>
    <t>Realiseret likviditet</t>
  </si>
  <si>
    <t>ANLÆGSAKTIVER</t>
  </si>
  <si>
    <t>TILGODEHAVENDER</t>
  </si>
  <si>
    <t>LIKVIDE BEHOLDNINGER</t>
  </si>
  <si>
    <t>AKTIVER I ALT</t>
  </si>
  <si>
    <t>EGENKAPITAL</t>
  </si>
  <si>
    <t>LANGFRISTET GÆLD</t>
  </si>
  <si>
    <t>KORTFRISTET GÆLD</t>
  </si>
  <si>
    <t>SKYLDIG MOMS</t>
  </si>
  <si>
    <t>SKYLDIGE LØNOMKOSTNINGER</t>
  </si>
  <si>
    <t>PASSIVER I ALT</t>
  </si>
  <si>
    <t>Ændring anlægsaktiver</t>
  </si>
  <si>
    <t>Ændring tilgodehavender</t>
  </si>
  <si>
    <t>Ændring langfristet gæld</t>
  </si>
  <si>
    <t>Ændring kortfristet gæld</t>
  </si>
  <si>
    <t>Ændring skyldig moms</t>
  </si>
  <si>
    <t>Ændring skyldige lønomkostninger</t>
  </si>
  <si>
    <t>OMSÆTNING I ALT</t>
  </si>
  <si>
    <t>VAREFORBRUG</t>
  </si>
  <si>
    <t>DÆKNINGSBIDRAG</t>
  </si>
  <si>
    <t>LØNNINGER MV. I ALT</t>
  </si>
  <si>
    <t>SALGSOMKOSTNINGER</t>
  </si>
  <si>
    <t>LOKALEOMKOSTNINGER</t>
  </si>
  <si>
    <t>TRANSPORTOMKOSTNINGER</t>
  </si>
  <si>
    <t>ADMINISTRATION</t>
  </si>
  <si>
    <t>AFSKRIVNINGER (Småanskaffelser)</t>
  </si>
  <si>
    <t>RENTEUDGIFTER</t>
  </si>
  <si>
    <t>Budget</t>
  </si>
  <si>
    <t>Realiseret</t>
  </si>
  <si>
    <t>Beregning af akkumulerret budget</t>
  </si>
  <si>
    <t>Beregning af akkumulerret realiseret</t>
  </si>
  <si>
    <t>HELE ÅRET</t>
  </si>
  <si>
    <t>Hævet til privat, bil og skat</t>
  </si>
  <si>
    <t>RESULTAT</t>
  </si>
  <si>
    <t xml:space="preserve">   heraf privat, bil og skat</t>
  </si>
  <si>
    <t>ÅR TIL DATO</t>
  </si>
  <si>
    <t xml:space="preserve">   SUM AF FRØ</t>
  </si>
  <si>
    <t>Real 2021</t>
  </si>
  <si>
    <t>Konto</t>
  </si>
  <si>
    <t>Navn</t>
  </si>
  <si>
    <t>AFDRAG PÅ LÅN TIL ANDELSGAARDE</t>
  </si>
  <si>
    <t>Afdrag</t>
  </si>
  <si>
    <t>Rente</t>
  </si>
  <si>
    <t>Dato</t>
  </si>
  <si>
    <t>Ydelse</t>
  </si>
  <si>
    <t>Gennemsnitlige månedlige renteomkostninger iht. ovenstående</t>
  </si>
  <si>
    <t>Restgæld</t>
  </si>
  <si>
    <t>Lån</t>
  </si>
  <si>
    <t>Rentsats</t>
  </si>
  <si>
    <t>Start: (dd-mm-åå)</t>
  </si>
  <si>
    <t>Slut: (dd-mm-åå)</t>
  </si>
  <si>
    <t>Gennemsnitlige afdrag pr. Termin</t>
  </si>
  <si>
    <t xml:space="preserve">Total pr. Termin før skat. </t>
  </si>
  <si>
    <t>Afdragsfri periode</t>
  </si>
  <si>
    <t>Termin</t>
  </si>
  <si>
    <t>Total Terminer</t>
  </si>
  <si>
    <t>Terminer afdrag</t>
  </si>
  <si>
    <t>Rente i afdragsperiode</t>
  </si>
  <si>
    <t>Rente i afdragsfri periode</t>
  </si>
  <si>
    <t>Rente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</si>
</sst>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kr.&quot;_-;\-* #,##0.00\ &quot;kr.&quot;_-;_-* &quot;-&quot;??\ &quot;kr.&quot;_-;_-@_-"/>
    <numFmt numFmtId="164" formatCode="_-* #,##0.00\ _k_r_._-;\-* #,##0.00\ _k_r_._-;_-* &quot;-&quot;??\ _k_r_._-;_-@_-"/>
    <numFmt numFmtId="165" formatCode="#,###"/>
    <numFmt numFmtId="166" formatCode="_-* #,##0\ &quot;kr.&quot;_-;\-* #,##0\ &quot;kr.&quot;_-;_-* &quot;-&quot;??\ &quot;kr.&quot;_-;_-@_-"/>
    <numFmt numFmtId="167" formatCode="0.0"/>
    <numFmt numFmtId="168" formatCode="_-* #,##0.0\ &quot;kr.&quot;_-;\-* #,##0.0\ &quot;kr.&quot;_-;_-* &quot;-&quot;?\ &quot;kr.&quot;_-;_-@_-"/>
    <numFmt numFmtId="171" formatCode="0.00\ &quot;år&quot;"/>
    <numFmt numFmtId="173" formatCode="0.0\ &quot;år&quot;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26">
    <xf numFmtId="0" fontId="0" fillId="0" borderId="0" xfId="0"/>
    <xf numFmtId="3" fontId="0" fillId="2" borderId="0" xfId="0" applyNumberFormat="1" applyFill="1"/>
    <xf numFmtId="1" fontId="0" fillId="2" borderId="0" xfId="0" applyNumberFormat="1" applyFill="1"/>
    <xf numFmtId="3" fontId="1" fillId="2" borderId="0" xfId="0" applyNumberFormat="1" applyFont="1" applyFill="1"/>
    <xf numFmtId="165" fontId="0" fillId="2" borderId="0" xfId="0" applyNumberFormat="1" applyFill="1"/>
    <xf numFmtId="165" fontId="1" fillId="2" borderId="0" xfId="0" applyNumberFormat="1" applyFont="1" applyFill="1"/>
    <xf numFmtId="165" fontId="1" fillId="2" borderId="1" xfId="0" applyNumberFormat="1" applyFont="1" applyFill="1" applyBorder="1"/>
    <xf numFmtId="165" fontId="0" fillId="2" borderId="6" xfId="0" applyNumberFormat="1" applyFill="1" applyBorder="1"/>
    <xf numFmtId="165" fontId="0" fillId="2" borderId="7" xfId="0" applyNumberFormat="1" applyFill="1" applyBorder="1"/>
    <xf numFmtId="1" fontId="1" fillId="2" borderId="0" xfId="0" applyNumberFormat="1" applyFont="1" applyFill="1"/>
    <xf numFmtId="1" fontId="1" fillId="2" borderId="1" xfId="0" applyNumberFormat="1" applyFont="1" applyFill="1" applyBorder="1"/>
    <xf numFmtId="165" fontId="1" fillId="2" borderId="8" xfId="0" applyNumberFormat="1" applyFont="1" applyFill="1" applyBorder="1"/>
    <xf numFmtId="165" fontId="1" fillId="2" borderId="9" xfId="0" applyNumberFormat="1" applyFont="1" applyFill="1" applyBorder="1"/>
    <xf numFmtId="165" fontId="0" fillId="4" borderId="6" xfId="0" applyNumberFormat="1" applyFill="1" applyBorder="1"/>
    <xf numFmtId="165" fontId="0" fillId="3" borderId="0" xfId="0" applyNumberFormat="1" applyFill="1"/>
    <xf numFmtId="165" fontId="0" fillId="2" borderId="4" xfId="0" applyNumberFormat="1" applyFill="1" applyBorder="1"/>
    <xf numFmtId="165" fontId="0" fillId="2" borderId="0" xfId="0" applyNumberFormat="1" applyFill="1" applyAlignment="1">
      <alignment horizontal="right"/>
    </xf>
    <xf numFmtId="165" fontId="1" fillId="2" borderId="2" xfId="0" applyNumberFormat="1" applyFont="1" applyFill="1" applyBorder="1"/>
    <xf numFmtId="165" fontId="0" fillId="2" borderId="9" xfId="0" applyNumberFormat="1" applyFill="1" applyBorder="1"/>
    <xf numFmtId="165" fontId="0" fillId="2" borderId="8" xfId="0" applyNumberFormat="1" applyFill="1" applyBorder="1"/>
    <xf numFmtId="165" fontId="0" fillId="2" borderId="11" xfId="0" applyNumberFormat="1" applyFill="1" applyBorder="1" applyAlignment="1">
      <alignment horizontal="right"/>
    </xf>
    <xf numFmtId="165" fontId="0" fillId="2" borderId="12" xfId="0" applyNumberFormat="1" applyFill="1" applyBorder="1" applyAlignment="1">
      <alignment horizontal="center"/>
    </xf>
    <xf numFmtId="165" fontId="0" fillId="2" borderId="13" xfId="0" applyNumberFormat="1" applyFill="1" applyBorder="1"/>
    <xf numFmtId="165" fontId="0" fillId="4" borderId="11" xfId="0" applyNumberFormat="1" applyFill="1" applyBorder="1"/>
    <xf numFmtId="165" fontId="0" fillId="2" borderId="11" xfId="0" applyNumberFormat="1" applyFill="1" applyBorder="1" applyAlignment="1">
      <alignment horizontal="center"/>
    </xf>
    <xf numFmtId="165" fontId="1" fillId="2" borderId="4" xfId="0" applyNumberFormat="1" applyFont="1" applyFill="1" applyBorder="1" applyAlignment="1">
      <alignment horizontal="center"/>
    </xf>
    <xf numFmtId="165" fontId="0" fillId="2" borderId="15" xfId="0" applyNumberFormat="1" applyFill="1" applyBorder="1" applyAlignment="1">
      <alignment horizontal="center"/>
    </xf>
    <xf numFmtId="3" fontId="0" fillId="2" borderId="0" xfId="1" applyNumberFormat="1" applyFont="1" applyFill="1"/>
    <xf numFmtId="3" fontId="0" fillId="2" borderId="0" xfId="0" applyNumberFormat="1" applyFill="1" applyAlignment="1">
      <alignment horizontal="center"/>
    </xf>
    <xf numFmtId="3" fontId="5" fillId="2" borderId="0" xfId="0" applyNumberFormat="1" applyFont="1" applyFill="1"/>
    <xf numFmtId="3" fontId="0" fillId="2" borderId="0" xfId="0" quotePrefix="1" applyNumberFormat="1" applyFill="1"/>
    <xf numFmtId="165" fontId="2" fillId="2" borderId="10" xfId="0" applyNumberFormat="1" applyFont="1" applyFill="1" applyBorder="1" applyAlignment="1">
      <alignment horizontal="center"/>
    </xf>
    <xf numFmtId="165" fontId="2" fillId="2" borderId="10" xfId="0" applyNumberFormat="1" applyFont="1" applyFill="1" applyBorder="1" applyAlignment="1">
      <alignment horizontal="right"/>
    </xf>
    <xf numFmtId="3" fontId="0" fillId="2" borderId="0" xfId="0" applyNumberFormat="1" applyFill="1" applyAlignment="1">
      <alignment horizontal="right"/>
    </xf>
    <xf numFmtId="165" fontId="0" fillId="2" borderId="15" xfId="0" applyNumberFormat="1" applyFill="1" applyBorder="1"/>
    <xf numFmtId="165" fontId="0" fillId="4" borderId="6" xfId="0" applyNumberFormat="1" applyFill="1" applyBorder="1" applyProtection="1">
      <protection locked="0"/>
    </xf>
    <xf numFmtId="3" fontId="0" fillId="2" borderId="6" xfId="0" applyNumberFormat="1" applyFill="1" applyBorder="1"/>
    <xf numFmtId="165" fontId="0" fillId="2" borderId="14" xfId="0" applyNumberFormat="1" applyFill="1" applyBorder="1" applyAlignment="1">
      <alignment horizontal="center"/>
    </xf>
    <xf numFmtId="3" fontId="0" fillId="2" borderId="2" xfId="0" applyNumberFormat="1" applyFill="1" applyBorder="1"/>
    <xf numFmtId="165" fontId="0" fillId="2" borderId="12" xfId="0" applyNumberFormat="1" applyFill="1" applyBorder="1" applyAlignment="1">
      <alignment horizontal="right"/>
    </xf>
    <xf numFmtId="165" fontId="0" fillId="5" borderId="4" xfId="0" applyNumberFormat="1" applyFill="1" applyBorder="1" applyProtection="1">
      <protection locked="0"/>
    </xf>
    <xf numFmtId="165" fontId="0" fillId="5" borderId="0" xfId="0" applyNumberFormat="1" applyFill="1" applyProtection="1">
      <protection locked="0"/>
    </xf>
    <xf numFmtId="3" fontId="0" fillId="5" borderId="0" xfId="0" applyNumberFormat="1" applyFill="1" applyProtection="1">
      <protection locked="0"/>
    </xf>
    <xf numFmtId="9" fontId="0" fillId="4" borderId="0" xfId="4" applyFont="1" applyFill="1" applyProtection="1">
      <protection locked="0"/>
    </xf>
    <xf numFmtId="9" fontId="0" fillId="2" borderId="0" xfId="4" applyFont="1" applyFill="1"/>
    <xf numFmtId="165" fontId="0" fillId="3" borderId="0" xfId="0" applyNumberFormat="1" applyFill="1" applyProtection="1">
      <protection locked="0"/>
    </xf>
    <xf numFmtId="165" fontId="10" fillId="2" borderId="0" xfId="0" applyNumberFormat="1" applyFont="1" applyFill="1"/>
    <xf numFmtId="165" fontId="10" fillId="2" borderId="7" xfId="0" applyNumberFormat="1" applyFont="1" applyFill="1" applyBorder="1"/>
    <xf numFmtId="165" fontId="10" fillId="2" borderId="6" xfId="0" applyNumberFormat="1" applyFont="1" applyFill="1" applyBorder="1"/>
    <xf numFmtId="3" fontId="1" fillId="2" borderId="0" xfId="0" applyNumberFormat="1" applyFont="1" applyFill="1" applyAlignment="1">
      <alignment horizontal="center"/>
    </xf>
    <xf numFmtId="3" fontId="10" fillId="2" borderId="0" xfId="0" applyNumberFormat="1" applyFont="1" applyFill="1"/>
    <xf numFmtId="165" fontId="0" fillId="4" borderId="3" xfId="0" applyNumberFormat="1" applyFill="1" applyBorder="1" applyAlignment="1" applyProtection="1">
      <alignment horizontal="right"/>
      <protection locked="0"/>
    </xf>
    <xf numFmtId="165" fontId="0" fillId="5" borderId="3" xfId="0" applyNumberFormat="1" applyFill="1" applyBorder="1" applyProtection="1">
      <protection locked="0"/>
    </xf>
    <xf numFmtId="3" fontId="1" fillId="2" borderId="6" xfId="0" applyNumberFormat="1" applyFont="1" applyFill="1" applyBorder="1"/>
    <xf numFmtId="3" fontId="0" fillId="5" borderId="6" xfId="0" applyNumberFormat="1" applyFill="1" applyBorder="1" applyProtection="1">
      <protection locked="0"/>
    </xf>
    <xf numFmtId="165" fontId="0" fillId="4" borderId="6" xfId="0" applyNumberFormat="1" applyFill="1" applyBorder="1" applyAlignment="1" applyProtection="1">
      <alignment horizontal="right"/>
      <protection locked="0"/>
    </xf>
    <xf numFmtId="165" fontId="0" fillId="6" borderId="6" xfId="0" applyNumberFormat="1" applyFill="1" applyBorder="1" applyAlignment="1">
      <alignment horizontal="right" vertical="center"/>
    </xf>
    <xf numFmtId="3" fontId="1" fillId="2" borderId="6" xfId="0" applyNumberFormat="1" applyFont="1" applyFill="1" applyBorder="1" applyAlignment="1">
      <alignment horizontal="right"/>
    </xf>
    <xf numFmtId="3" fontId="1" fillId="2" borderId="10" xfId="0" applyNumberFormat="1" applyFont="1" applyFill="1" applyBorder="1"/>
    <xf numFmtId="3" fontId="1" fillId="2" borderId="11" xfId="0" applyNumberFormat="1" applyFont="1" applyFill="1" applyBorder="1"/>
    <xf numFmtId="3" fontId="1" fillId="2" borderId="12" xfId="0" applyNumberFormat="1" applyFont="1" applyFill="1" applyBorder="1"/>
    <xf numFmtId="165" fontId="0" fillId="4" borderId="6" xfId="0" applyNumberFormat="1" applyFill="1" applyBorder="1" applyAlignment="1" applyProtection="1">
      <alignment horizontal="right" vertical="center"/>
      <protection locked="0"/>
    </xf>
    <xf numFmtId="1" fontId="0" fillId="2" borderId="0" xfId="0" applyNumberFormat="1" applyFill="1" applyAlignment="1">
      <alignment horizontal="right"/>
    </xf>
    <xf numFmtId="165" fontId="0" fillId="2" borderId="6" xfId="0" applyNumberFormat="1" applyFill="1" applyBorder="1" applyAlignment="1">
      <alignment horizontal="right" vertical="center"/>
    </xf>
    <xf numFmtId="165" fontId="1" fillId="2" borderId="6" xfId="0" applyNumberFormat="1" applyFont="1" applyFill="1" applyBorder="1"/>
    <xf numFmtId="165" fontId="1" fillId="2" borderId="3" xfId="0" applyNumberFormat="1" applyFont="1" applyFill="1" applyBorder="1"/>
    <xf numFmtId="165" fontId="1" fillId="2" borderId="10" xfId="0" applyNumberFormat="1" applyFont="1" applyFill="1" applyBorder="1" applyAlignment="1">
      <alignment horizontal="right"/>
    </xf>
    <xf numFmtId="165" fontId="1" fillId="2" borderId="4" xfId="0" applyNumberFormat="1" applyFont="1" applyFill="1" applyBorder="1"/>
    <xf numFmtId="165" fontId="1" fillId="2" borderId="10" xfId="0" applyNumberFormat="1" applyFont="1" applyFill="1" applyBorder="1"/>
    <xf numFmtId="165" fontId="1" fillId="2" borderId="11" xfId="0" applyNumberFormat="1" applyFont="1" applyFill="1" applyBorder="1"/>
    <xf numFmtId="165" fontId="1" fillId="2" borderId="5" xfId="0" applyNumberFormat="1" applyFont="1" applyFill="1" applyBorder="1"/>
    <xf numFmtId="165" fontId="1" fillId="2" borderId="11" xfId="0" applyNumberFormat="1" applyFont="1" applyFill="1" applyBorder="1" applyAlignment="1">
      <alignment horizontal="right"/>
    </xf>
    <xf numFmtId="165" fontId="1" fillId="2" borderId="12" xfId="0" applyNumberFormat="1" applyFont="1" applyFill="1" applyBorder="1" applyAlignment="1">
      <alignment horizontal="right"/>
    </xf>
    <xf numFmtId="165" fontId="0" fillId="4" borderId="13" xfId="0" applyNumberFormat="1" applyFill="1" applyBorder="1"/>
    <xf numFmtId="165" fontId="1" fillId="4" borderId="13" xfId="0" applyNumberFormat="1" applyFont="1" applyFill="1" applyBorder="1"/>
    <xf numFmtId="165" fontId="1" fillId="4" borderId="2" xfId="0" applyNumberFormat="1" applyFont="1" applyFill="1" applyBorder="1"/>
    <xf numFmtId="165" fontId="1" fillId="4" borderId="8" xfId="0" applyNumberFormat="1" applyFont="1" applyFill="1" applyBorder="1"/>
    <xf numFmtId="165" fontId="1" fillId="3" borderId="13" xfId="0" applyNumberFormat="1" applyFont="1" applyFill="1" applyBorder="1"/>
    <xf numFmtId="165" fontId="1" fillId="3" borderId="8" xfId="0" applyNumberFormat="1" applyFont="1" applyFill="1" applyBorder="1"/>
    <xf numFmtId="165" fontId="1" fillId="3" borderId="13" xfId="0" applyNumberFormat="1" applyFont="1" applyFill="1" applyBorder="1" applyAlignment="1">
      <alignment horizontal="right"/>
    </xf>
    <xf numFmtId="165" fontId="0" fillId="3" borderId="13" xfId="0" applyNumberFormat="1" applyFill="1" applyBorder="1"/>
    <xf numFmtId="165" fontId="1" fillId="3" borderId="2" xfId="0" applyNumberFormat="1" applyFont="1" applyFill="1" applyBorder="1"/>
    <xf numFmtId="3" fontId="0" fillId="2" borderId="0" xfId="0" applyNumberFormat="1" applyFill="1" applyAlignment="1">
      <alignment vertical="center"/>
    </xf>
    <xf numFmtId="3" fontId="12" fillId="2" borderId="0" xfId="0" applyNumberFormat="1" applyFont="1" applyFill="1"/>
    <xf numFmtId="3" fontId="12" fillId="2" borderId="0" xfId="0" applyNumberFormat="1" applyFont="1" applyFill="1" applyAlignment="1">
      <alignment vertical="center"/>
    </xf>
    <xf numFmtId="165" fontId="11" fillId="3" borderId="11" xfId="0" applyNumberFormat="1" applyFont="1" applyFill="1" applyBorder="1" applyAlignment="1" applyProtection="1">
      <alignment horizontal="center" vertical="center"/>
      <protection locked="0"/>
    </xf>
    <xf numFmtId="165" fontId="1" fillId="2" borderId="7" xfId="0" applyNumberFormat="1" applyFont="1" applyFill="1" applyBorder="1"/>
    <xf numFmtId="165" fontId="1" fillId="2" borderId="13" xfId="0" applyNumberFormat="1" applyFont="1" applyFill="1" applyBorder="1"/>
    <xf numFmtId="165" fontId="0" fillId="7" borderId="7" xfId="0" applyNumberFormat="1" applyFill="1" applyBorder="1"/>
    <xf numFmtId="165" fontId="1" fillId="7" borderId="9" xfId="0" applyNumberFormat="1" applyFont="1" applyFill="1" applyBorder="1"/>
    <xf numFmtId="1" fontId="1" fillId="2" borderId="11" xfId="0" applyNumberFormat="1" applyFont="1" applyFill="1" applyBorder="1" applyAlignment="1">
      <alignment horizontal="right"/>
    </xf>
    <xf numFmtId="165" fontId="1" fillId="4" borderId="11" xfId="0" applyNumberFormat="1" applyFont="1" applyFill="1" applyBorder="1" applyAlignment="1">
      <alignment horizontal="center"/>
    </xf>
    <xf numFmtId="165" fontId="0" fillId="4" borderId="11" xfId="0" applyNumberFormat="1" applyFill="1" applyBorder="1" applyAlignment="1">
      <alignment horizontal="right"/>
    </xf>
    <xf numFmtId="165" fontId="0" fillId="6" borderId="7" xfId="0" applyNumberFormat="1" applyFill="1" applyBorder="1" applyAlignment="1">
      <alignment horizontal="right" vertical="center"/>
    </xf>
    <xf numFmtId="3" fontId="1" fillId="2" borderId="7" xfId="0" applyNumberFormat="1" applyFont="1" applyFill="1" applyBorder="1" applyAlignment="1">
      <alignment horizontal="right"/>
    </xf>
    <xf numFmtId="3" fontId="13" fillId="5" borderId="0" xfId="0" applyNumberFormat="1" applyFont="1" applyFill="1" applyProtection="1">
      <protection locked="0"/>
    </xf>
    <xf numFmtId="165" fontId="13" fillId="6" borderId="7" xfId="0" applyNumberFormat="1" applyFont="1" applyFill="1" applyBorder="1" applyAlignment="1">
      <alignment horizontal="right" vertical="center"/>
    </xf>
    <xf numFmtId="165" fontId="13" fillId="4" borderId="6" xfId="0" applyNumberFormat="1" applyFont="1" applyFill="1" applyBorder="1" applyAlignment="1" applyProtection="1">
      <alignment horizontal="right" vertical="center"/>
      <protection locked="0"/>
    </xf>
    <xf numFmtId="3" fontId="0" fillId="4" borderId="13" xfId="0" applyNumberFormat="1" applyFill="1" applyBorder="1"/>
    <xf numFmtId="3" fontId="1" fillId="2" borderId="0" xfId="0" applyNumberFormat="1" applyFont="1" applyFill="1" applyAlignment="1">
      <alignment horizontal="right"/>
    </xf>
    <xf numFmtId="3" fontId="14" fillId="2" borderId="0" xfId="0" applyNumberFormat="1" applyFont="1" applyFill="1"/>
    <xf numFmtId="165" fontId="14" fillId="2" borderId="0" xfId="0" applyNumberFormat="1" applyFont="1" applyFill="1"/>
    <xf numFmtId="0" fontId="0" fillId="2" borderId="0" xfId="0" applyFill="1"/>
    <xf numFmtId="0" fontId="15" fillId="2" borderId="16" xfId="0" applyFont="1" applyFill="1" applyBorder="1"/>
    <xf numFmtId="0" fontId="15" fillId="2" borderId="19" xfId="0" applyFont="1" applyFill="1" applyBorder="1"/>
    <xf numFmtId="0" fontId="15" fillId="2" borderId="17" xfId="0" applyFont="1" applyFill="1" applyBorder="1"/>
    <xf numFmtId="14" fontId="0" fillId="2" borderId="0" xfId="0" applyNumberFormat="1" applyFill="1"/>
    <xf numFmtId="168" fontId="0" fillId="2" borderId="0" xfId="0" applyNumberFormat="1" applyFill="1"/>
    <xf numFmtId="167" fontId="0" fillId="2" borderId="18" xfId="0" applyNumberFormat="1" applyFill="1" applyBorder="1"/>
    <xf numFmtId="166" fontId="0" fillId="2" borderId="0" xfId="5" applyNumberFormat="1" applyFont="1" applyFill="1" applyBorder="1" applyAlignment="1" applyProtection="1"/>
    <xf numFmtId="166" fontId="0" fillId="2" borderId="0" xfId="0" applyNumberFormat="1" applyFill="1"/>
    <xf numFmtId="44" fontId="10" fillId="2" borderId="18" xfId="5" applyFont="1" applyFill="1" applyBorder="1" applyAlignment="1" applyProtection="1"/>
    <xf numFmtId="165" fontId="2" fillId="2" borderId="3" xfId="0" applyNumberFormat="1" applyFont="1" applyFill="1" applyBorder="1" applyAlignment="1">
      <alignment horizontal="center"/>
    </xf>
    <xf numFmtId="165" fontId="2" fillId="2" borderId="4" xfId="0" applyNumberFormat="1" applyFont="1" applyFill="1" applyBorder="1" applyAlignment="1">
      <alignment horizontal="center"/>
    </xf>
    <xf numFmtId="165" fontId="2" fillId="2" borderId="5" xfId="0" applyNumberFormat="1" applyFont="1" applyFill="1" applyBorder="1" applyAlignment="1">
      <alignment horizontal="center"/>
    </xf>
    <xf numFmtId="165" fontId="2" fillId="2" borderId="0" xfId="0" applyNumberFormat="1" applyFont="1" applyFill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2" borderId="9" xfId="0" applyNumberFormat="1" applyFill="1" applyBorder="1" applyAlignment="1">
      <alignment horizontal="center"/>
    </xf>
    <xf numFmtId="165" fontId="0" fillId="2" borderId="11" xfId="0" applyNumberFormat="1" applyFill="1" applyBorder="1" applyAlignment="1">
      <alignment horizontal="center"/>
    </xf>
    <xf numFmtId="166" fontId="0" fillId="8" borderId="18" xfId="5" applyNumberFormat="1" applyFont="1" applyFill="1" applyBorder="1" applyAlignment="1" applyProtection="1"/>
    <xf numFmtId="10" fontId="0" fillId="8" borderId="18" xfId="0" applyNumberFormat="1" applyFill="1" applyBorder="1"/>
    <xf numFmtId="14" fontId="0" fillId="8" borderId="18" xfId="0" applyNumberFormat="1" applyFill="1" applyBorder="1"/>
    <xf numFmtId="171" fontId="0" fillId="8" borderId="18" xfId="0" applyNumberFormat="1" applyFill="1" applyBorder="1"/>
    <xf numFmtId="0" fontId="1" fillId="2" borderId="18" xfId="0" applyFont="1" applyFill="1" applyBorder="1"/>
    <xf numFmtId="173" fontId="0" fillId="2" borderId="0" xfId="0" applyNumberFormat="1" applyFill="1"/>
  </cellXfs>
  <cellStyles count="6">
    <cellStyle name="Comma" xfId="1" builtinId="3"/>
    <cellStyle name="Currency" xfId="5" builtinId="4"/>
    <cellStyle name="Followed Hyperlink" xfId="3" builtinId="9" hidden="1"/>
    <cellStyle name="Hyperlink" xfId="2" builtinId="8" hidden="1"/>
    <cellStyle name="Normal" xfId="0" builtinId="0"/>
    <cellStyle name="Per cent" xfId="4" builtinId="5"/>
  </cellStyles>
  <dxfs count="0"/>
  <tableStyles count="0" defaultTableStyle="TableStyleMedium2" defaultPivotStyle="PivotStyleLight16"/>
  <colors>
    <mruColors>
      <color rgb="FFF869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Likvider i alt budget og prognose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'2023'!$AU$33:$AV$33</c:f>
              <c:strCache>
                <c:ptCount val="2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'2023'!$AW$33:$BI$33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7EB-4EF5-9B9E-E7ABB9611E2E}"/>
            </c:ext>
          </c:extLst>
        </c:ser>
        <c:ser>
          <c:idx val="1"/>
          <c:order val="1"/>
          <c:tx>
            <c:strRef>
              <c:f>'2023'!$AU$34:$AV$34</c:f>
              <c:strCache>
                <c:ptCount val="2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'2023'!$AW$34:$BI$34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7EB-4EF5-9B9E-E7ABB9611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308352"/>
        <c:axId val="258326528"/>
      </c:lineChart>
      <c:catAx>
        <c:axId val="25830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58326528"/>
        <c:crosses val="autoZero"/>
        <c:auto val="1"/>
        <c:lblAlgn val="ctr"/>
        <c:lblOffset val="100"/>
        <c:noMultiLvlLbl val="0"/>
      </c:catAx>
      <c:valAx>
        <c:axId val="25832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5830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Likvider i alt budget og prognose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'2023'!$AU$33:$AV$33</c:f>
              <c:strCache>
                <c:ptCount val="2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'2023'!$AW$33:$BI$33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FDF-F043-A92B-9B4A526282A6}"/>
            </c:ext>
          </c:extLst>
        </c:ser>
        <c:ser>
          <c:idx val="1"/>
          <c:order val="1"/>
          <c:tx>
            <c:strRef>
              <c:f>'2023'!$AU$34:$AV$34</c:f>
              <c:strCache>
                <c:ptCount val="2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'2023'!$AW$34:$BI$34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FDF-F043-A92B-9B4A52628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065792"/>
        <c:axId val="268071680"/>
      </c:lineChart>
      <c:catAx>
        <c:axId val="26806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68071680"/>
        <c:crosses val="autoZero"/>
        <c:auto val="1"/>
        <c:lblAlgn val="ctr"/>
        <c:lblOffset val="100"/>
        <c:noMultiLvlLbl val="0"/>
      </c:catAx>
      <c:valAx>
        <c:axId val="26807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6806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Likvider i alt budget og prognose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'2023'!$AU$33:$AV$33</c:f>
              <c:strCache>
                <c:ptCount val="2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'2023'!$AW$33:$BI$33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283-F347-8EF8-33E6CC26EE47}"/>
            </c:ext>
          </c:extLst>
        </c:ser>
        <c:ser>
          <c:idx val="1"/>
          <c:order val="1"/>
          <c:tx>
            <c:strRef>
              <c:f>'2023'!$AU$34:$AV$34</c:f>
              <c:strCache>
                <c:ptCount val="2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'2023'!$AW$34:$BI$34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'2023'!$AW$32:$BI$32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283-F347-8EF8-33E6CC26E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8142080"/>
        <c:axId val="268143616"/>
      </c:lineChart>
      <c:catAx>
        <c:axId val="26814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68143616"/>
        <c:crosses val="autoZero"/>
        <c:auto val="1"/>
        <c:lblAlgn val="ctr"/>
        <c:lblOffset val="100"/>
        <c:noMultiLvlLbl val="0"/>
      </c:catAx>
      <c:valAx>
        <c:axId val="26814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6814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787400</xdr:colOff>
          <xdr:row>0</xdr:row>
          <xdr:rowOff>0</xdr:rowOff>
        </xdr:from>
        <xdr:to>
          <xdr:col>2</xdr:col>
          <xdr:colOff>1511300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1549400</xdr:colOff>
          <xdr:row>0</xdr:row>
          <xdr:rowOff>0</xdr:rowOff>
        </xdr:from>
        <xdr:to>
          <xdr:col>2</xdr:col>
          <xdr:colOff>2616200</xdr:colOff>
          <xdr:row>0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realiseret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63500</xdr:colOff>
          <xdr:row>0</xdr:row>
          <xdr:rowOff>0</xdr:rowOff>
        </xdr:from>
        <xdr:to>
          <xdr:col>2</xdr:col>
          <xdr:colOff>787400</xdr:colOff>
          <xdr:row>0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alt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2616200</xdr:colOff>
          <xdr:row>0</xdr:row>
          <xdr:rowOff>12700</xdr:rowOff>
        </xdr:from>
        <xdr:to>
          <xdr:col>3</xdr:col>
          <xdr:colOff>0</xdr:colOff>
          <xdr:row>0</xdr:row>
          <xdr:rowOff>342900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Prognose</a:t>
              </a:r>
            </a:p>
          </xdr:txBody>
        </xdr:sp>
        <xdr:clientData fPrintsWithSheet="0"/>
      </xdr:twoCellAnchor>
    </mc:Choice>
    <mc:Fallback/>
  </mc:AlternateContent>
  <xdr:twoCellAnchor>
    <xdr:from>
      <xdr:col>48</xdr:col>
      <xdr:colOff>83286</xdr:colOff>
      <xdr:row>35</xdr:row>
      <xdr:rowOff>42653</xdr:rowOff>
    </xdr:from>
    <xdr:to>
      <xdr:col>62</xdr:col>
      <xdr:colOff>159669</xdr:colOff>
      <xdr:row>58</xdr:row>
      <xdr:rowOff>75462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787400</xdr:colOff>
          <xdr:row>0</xdr:row>
          <xdr:rowOff>0</xdr:rowOff>
        </xdr:from>
        <xdr:to>
          <xdr:col>2</xdr:col>
          <xdr:colOff>1511300</xdr:colOff>
          <xdr:row>0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1549400</xdr:colOff>
          <xdr:row>0</xdr:row>
          <xdr:rowOff>0</xdr:rowOff>
        </xdr:from>
        <xdr:to>
          <xdr:col>2</xdr:col>
          <xdr:colOff>2616200</xdr:colOff>
          <xdr:row>0</xdr:row>
          <xdr:rowOff>342900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realiseret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63500</xdr:colOff>
          <xdr:row>0</xdr:row>
          <xdr:rowOff>0</xdr:rowOff>
        </xdr:from>
        <xdr:to>
          <xdr:col>2</xdr:col>
          <xdr:colOff>787400</xdr:colOff>
          <xdr:row>0</xdr:row>
          <xdr:rowOff>342900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alt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2616200</xdr:colOff>
          <xdr:row>0</xdr:row>
          <xdr:rowOff>12700</xdr:rowOff>
        </xdr:from>
        <xdr:to>
          <xdr:col>2</xdr:col>
          <xdr:colOff>3098800</xdr:colOff>
          <xdr:row>0</xdr:row>
          <xdr:rowOff>342900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Prognose</a:t>
              </a:r>
            </a:p>
          </xdr:txBody>
        </xdr:sp>
        <xdr:clientData fPrintsWithSheet="0"/>
      </xdr:twoCellAnchor>
    </mc:Choice>
    <mc:Fallback/>
  </mc:AlternateContent>
  <xdr:twoCellAnchor>
    <xdr:from>
      <xdr:col>48</xdr:col>
      <xdr:colOff>83286</xdr:colOff>
      <xdr:row>35</xdr:row>
      <xdr:rowOff>42653</xdr:rowOff>
    </xdr:from>
    <xdr:to>
      <xdr:col>62</xdr:col>
      <xdr:colOff>159669</xdr:colOff>
      <xdr:row>58</xdr:row>
      <xdr:rowOff>75462</xdr:rowOff>
    </xdr:to>
    <xdr:graphicFrame macro="">
      <xdr:nvGraphicFramePr>
        <xdr:cNvPr id="2" name="Diagram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787400</xdr:colOff>
          <xdr:row>0</xdr:row>
          <xdr:rowOff>0</xdr:rowOff>
        </xdr:from>
        <xdr:to>
          <xdr:col>2</xdr:col>
          <xdr:colOff>1511300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Budget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1549400</xdr:colOff>
          <xdr:row>0</xdr:row>
          <xdr:rowOff>0</xdr:rowOff>
        </xdr:from>
        <xdr:to>
          <xdr:col>2</xdr:col>
          <xdr:colOff>2616200</xdr:colOff>
          <xdr:row>0</xdr:row>
          <xdr:rowOff>342900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Kun realiseret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63500</xdr:colOff>
          <xdr:row>0</xdr:row>
          <xdr:rowOff>0</xdr:rowOff>
        </xdr:from>
        <xdr:to>
          <xdr:col>2</xdr:col>
          <xdr:colOff>787400</xdr:colOff>
          <xdr:row>0</xdr:row>
          <xdr:rowOff>342900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alt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2616200</xdr:colOff>
          <xdr:row>0</xdr:row>
          <xdr:rowOff>12700</xdr:rowOff>
        </xdr:from>
        <xdr:to>
          <xdr:col>2</xdr:col>
          <xdr:colOff>3098800</xdr:colOff>
          <xdr:row>0</xdr:row>
          <xdr:rowOff>342900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Prognose</a:t>
              </a:r>
            </a:p>
          </xdr:txBody>
        </xdr:sp>
        <xdr:clientData fPrintsWithSheet="0"/>
      </xdr:twoCellAnchor>
    </mc:Choice>
    <mc:Fallback/>
  </mc:AlternateContent>
  <xdr:twoCellAnchor>
    <xdr:from>
      <xdr:col>48</xdr:col>
      <xdr:colOff>83286</xdr:colOff>
      <xdr:row>35</xdr:row>
      <xdr:rowOff>42653</xdr:rowOff>
    </xdr:from>
    <xdr:to>
      <xdr:col>62</xdr:col>
      <xdr:colOff>159669</xdr:colOff>
      <xdr:row>58</xdr:row>
      <xdr:rowOff>75462</xdr:rowOff>
    </xdr:to>
    <xdr:graphicFrame macro="">
      <xdr:nvGraphicFramePr>
        <xdr:cNvPr id="6" name="Diagram 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CP55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58" sqref="E58"/>
    </sheetView>
  </sheetViews>
  <sheetFormatPr baseColWidth="10" defaultColWidth="8.83203125" defaultRowHeight="15" x14ac:dyDescent="0.2"/>
  <cols>
    <col min="1" max="1" width="2.33203125" style="1" customWidth="1"/>
    <col min="2" max="2" width="5.5" style="2" customWidth="1"/>
    <col min="3" max="3" width="45.33203125" style="1" customWidth="1"/>
    <col min="4" max="4" width="9.83203125" style="1" customWidth="1"/>
    <col min="5" max="40" width="8.6640625" style="1" customWidth="1"/>
    <col min="41" max="41" width="8.6640625" style="3" customWidth="1"/>
    <col min="42" max="44" width="10.5" style="1" customWidth="1"/>
    <col min="45" max="45" width="16.5" style="1" customWidth="1"/>
    <col min="46" max="46" width="10.1640625" style="1" bestFit="1" customWidth="1"/>
    <col min="47" max="47" width="11.6640625" style="1" bestFit="1" customWidth="1"/>
    <col min="48" max="48" width="9.33203125" style="1" bestFit="1" customWidth="1"/>
    <col min="49" max="49" width="12.33203125" style="1" hidden="1" customWidth="1"/>
    <col min="50" max="61" width="11.5" style="1" hidden="1" customWidth="1"/>
    <col min="62" max="84" width="0" style="1" hidden="1" customWidth="1"/>
    <col min="85" max="2897" width="8.83203125" style="1"/>
    <col min="2898" max="2898" width="13.5" style="1" customWidth="1"/>
    <col min="2899" max="16384" width="8.83203125" style="1"/>
  </cols>
  <sheetData>
    <row r="1" spans="2:84" ht="35" customHeight="1" x14ac:dyDescent="0.3">
      <c r="E1" s="1">
        <v>1</v>
      </c>
      <c r="F1" s="29">
        <v>0</v>
      </c>
      <c r="I1" s="85">
        <v>2</v>
      </c>
      <c r="J1" s="83"/>
      <c r="K1" s="83"/>
      <c r="L1" s="84" t="s">
        <v>20</v>
      </c>
      <c r="M1" s="82"/>
      <c r="N1" s="82"/>
      <c r="O1" s="82"/>
      <c r="AW1" s="23"/>
      <c r="AX1" s="92" t="s">
        <v>21</v>
      </c>
      <c r="AY1" s="91">
        <f>12-I1</f>
        <v>10</v>
      </c>
    </row>
    <row r="2" spans="2:84" s="4" customFormat="1" x14ac:dyDescent="0.2">
      <c r="B2" s="9" t="s">
        <v>38</v>
      </c>
      <c r="D2" s="5" t="s">
        <v>3</v>
      </c>
      <c r="E2" s="112" t="s">
        <v>14</v>
      </c>
      <c r="F2" s="113"/>
      <c r="G2" s="114"/>
      <c r="H2" s="112" t="s">
        <v>15</v>
      </c>
      <c r="I2" s="115"/>
      <c r="J2" s="114"/>
      <c r="K2" s="112" t="s">
        <v>16</v>
      </c>
      <c r="L2" s="113"/>
      <c r="M2" s="114"/>
      <c r="N2" s="112" t="s">
        <v>17</v>
      </c>
      <c r="O2" s="113"/>
      <c r="P2" s="114"/>
      <c r="Q2" s="112" t="s">
        <v>0</v>
      </c>
      <c r="R2" s="113"/>
      <c r="S2" s="114"/>
      <c r="T2" s="112" t="s">
        <v>18</v>
      </c>
      <c r="U2" s="113"/>
      <c r="V2" s="114"/>
      <c r="W2" s="112" t="s">
        <v>8</v>
      </c>
      <c r="X2" s="113"/>
      <c r="Y2" s="114"/>
      <c r="Z2" s="112" t="s">
        <v>9</v>
      </c>
      <c r="AA2" s="113"/>
      <c r="AB2" s="114"/>
      <c r="AC2" s="112" t="s">
        <v>10</v>
      </c>
      <c r="AD2" s="113"/>
      <c r="AE2" s="114"/>
      <c r="AF2" s="112" t="s">
        <v>11</v>
      </c>
      <c r="AG2" s="113"/>
      <c r="AH2" s="114"/>
      <c r="AI2" s="112" t="s">
        <v>12</v>
      </c>
      <c r="AJ2" s="113"/>
      <c r="AK2" s="114"/>
      <c r="AL2" s="112" t="s">
        <v>13</v>
      </c>
      <c r="AM2" s="113"/>
      <c r="AN2" s="113"/>
      <c r="AO2" s="65"/>
      <c r="AP2" s="25" t="s">
        <v>107</v>
      </c>
      <c r="AQ2" s="15"/>
      <c r="AR2" s="65"/>
      <c r="AS2" s="67"/>
      <c r="AT2" s="67"/>
      <c r="AU2" s="67" t="s">
        <v>103</v>
      </c>
      <c r="AV2" s="70"/>
      <c r="AW2" s="117" t="s">
        <v>22</v>
      </c>
      <c r="AX2" s="117"/>
      <c r="AY2" s="119"/>
      <c r="AZ2" s="117"/>
      <c r="BA2" s="117"/>
      <c r="BB2" s="117"/>
      <c r="BC2" s="117"/>
      <c r="BD2" s="117"/>
      <c r="BE2" s="117"/>
      <c r="BF2" s="117"/>
      <c r="BG2" s="117"/>
      <c r="BH2" s="118"/>
      <c r="BI2" s="116" t="s">
        <v>101</v>
      </c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8"/>
      <c r="BU2" s="116" t="s">
        <v>102</v>
      </c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8"/>
    </row>
    <row r="3" spans="2:84" s="4" customFormat="1" x14ac:dyDescent="0.2">
      <c r="B3" s="2" t="s">
        <v>110</v>
      </c>
      <c r="C3" s="4" t="s">
        <v>111</v>
      </c>
      <c r="E3" s="31" t="s">
        <v>39</v>
      </c>
      <c r="F3" s="24" t="s">
        <v>2</v>
      </c>
      <c r="G3" s="21" t="s">
        <v>1</v>
      </c>
      <c r="H3" s="31" t="s">
        <v>40</v>
      </c>
      <c r="I3" s="24" t="s">
        <v>2</v>
      </c>
      <c r="J3" s="21" t="s">
        <v>1</v>
      </c>
      <c r="K3" s="31" t="s">
        <v>41</v>
      </c>
      <c r="L3" s="24" t="s">
        <v>2</v>
      </c>
      <c r="M3" s="21" t="s">
        <v>1</v>
      </c>
      <c r="N3" s="31" t="s">
        <v>42</v>
      </c>
      <c r="O3" s="24" t="s">
        <v>2</v>
      </c>
      <c r="P3" s="21" t="s">
        <v>1</v>
      </c>
      <c r="Q3" s="31" t="s">
        <v>43</v>
      </c>
      <c r="R3" s="24" t="s">
        <v>2</v>
      </c>
      <c r="S3" s="21" t="s">
        <v>1</v>
      </c>
      <c r="T3" s="31" t="s">
        <v>44</v>
      </c>
      <c r="U3" s="24" t="s">
        <v>2</v>
      </c>
      <c r="V3" s="21" t="s">
        <v>1</v>
      </c>
      <c r="W3" s="31" t="s">
        <v>45</v>
      </c>
      <c r="X3" s="24" t="s">
        <v>2</v>
      </c>
      <c r="Y3" s="21" t="s">
        <v>1</v>
      </c>
      <c r="Z3" s="31" t="s">
        <v>46</v>
      </c>
      <c r="AA3" s="24" t="s">
        <v>2</v>
      </c>
      <c r="AB3" s="21" t="s">
        <v>1</v>
      </c>
      <c r="AC3" s="31" t="s">
        <v>47</v>
      </c>
      <c r="AD3" s="24" t="s">
        <v>2</v>
      </c>
      <c r="AE3" s="21" t="s">
        <v>1</v>
      </c>
      <c r="AF3" s="31" t="s">
        <v>48</v>
      </c>
      <c r="AG3" s="24" t="s">
        <v>2</v>
      </c>
      <c r="AH3" s="21" t="s">
        <v>1</v>
      </c>
      <c r="AI3" s="31" t="s">
        <v>49</v>
      </c>
      <c r="AJ3" s="24" t="s">
        <v>2</v>
      </c>
      <c r="AK3" s="21" t="s">
        <v>1</v>
      </c>
      <c r="AL3" s="32" t="s">
        <v>50</v>
      </c>
      <c r="AM3" s="20" t="s">
        <v>2</v>
      </c>
      <c r="AN3" s="20" t="s">
        <v>1</v>
      </c>
      <c r="AO3" s="66" t="s">
        <v>99</v>
      </c>
      <c r="AP3" s="71" t="s">
        <v>100</v>
      </c>
      <c r="AQ3" s="71" t="s">
        <v>26</v>
      </c>
      <c r="AR3" s="68"/>
      <c r="AS3" s="69"/>
      <c r="AT3" s="90" t="s">
        <v>109</v>
      </c>
      <c r="AU3" s="71" t="s">
        <v>19</v>
      </c>
      <c r="AV3" s="72" t="s">
        <v>26</v>
      </c>
      <c r="AW3" s="4">
        <v>1</v>
      </c>
      <c r="AX3" s="4">
        <v>2</v>
      </c>
      <c r="AY3" s="4">
        <v>3</v>
      </c>
      <c r="AZ3" s="4">
        <v>4</v>
      </c>
      <c r="BA3" s="4">
        <v>5</v>
      </c>
      <c r="BB3" s="4">
        <v>6</v>
      </c>
      <c r="BC3" s="4">
        <v>7</v>
      </c>
      <c r="BD3" s="4">
        <v>8</v>
      </c>
      <c r="BE3" s="4">
        <v>9</v>
      </c>
      <c r="BF3" s="4">
        <v>10</v>
      </c>
      <c r="BG3" s="4">
        <v>11</v>
      </c>
      <c r="BH3" s="4">
        <v>12</v>
      </c>
      <c r="BI3" s="4">
        <v>1</v>
      </c>
      <c r="BJ3" s="4">
        <v>2</v>
      </c>
      <c r="BK3" s="4">
        <v>3</v>
      </c>
      <c r="BL3" s="4">
        <v>4</v>
      </c>
      <c r="BM3" s="4">
        <v>5</v>
      </c>
      <c r="BN3" s="4">
        <v>6</v>
      </c>
      <c r="BO3" s="4">
        <v>7</v>
      </c>
      <c r="BP3" s="4">
        <v>8</v>
      </c>
      <c r="BQ3" s="4">
        <v>9</v>
      </c>
      <c r="BR3" s="4">
        <v>10</v>
      </c>
      <c r="BS3" s="4">
        <v>11</v>
      </c>
      <c r="BT3" s="4">
        <v>12</v>
      </c>
      <c r="BU3" s="4">
        <v>1</v>
      </c>
      <c r="BV3" s="4">
        <v>2</v>
      </c>
      <c r="BW3" s="4">
        <v>3</v>
      </c>
      <c r="BX3" s="4">
        <v>4</v>
      </c>
      <c r="BY3" s="4">
        <v>5</v>
      </c>
      <c r="BZ3" s="4">
        <v>6</v>
      </c>
      <c r="CA3" s="4">
        <v>7</v>
      </c>
      <c r="CB3" s="4">
        <v>8</v>
      </c>
      <c r="CC3" s="4">
        <v>9</v>
      </c>
      <c r="CD3" s="4">
        <v>10</v>
      </c>
      <c r="CE3" s="4">
        <v>11</v>
      </c>
      <c r="CF3" s="4">
        <v>12</v>
      </c>
    </row>
    <row r="4" spans="2:84" s="4" customFormat="1" x14ac:dyDescent="0.2">
      <c r="B4" s="2"/>
      <c r="C4" s="4" t="s">
        <v>89</v>
      </c>
      <c r="D4" s="4" t="s">
        <v>3</v>
      </c>
      <c r="E4" s="13"/>
      <c r="F4" s="45"/>
      <c r="G4" s="8">
        <f>F4-E4</f>
        <v>0</v>
      </c>
      <c r="H4" s="13"/>
      <c r="I4" s="45"/>
      <c r="J4" s="8">
        <f>I4-H4</f>
        <v>0</v>
      </c>
      <c r="K4" s="13"/>
      <c r="L4" s="45"/>
      <c r="M4" s="8">
        <f t="shared" ref="M4:M14" si="0">L4-K4</f>
        <v>0</v>
      </c>
      <c r="N4" s="13"/>
      <c r="O4" s="45"/>
      <c r="P4" s="8">
        <f t="shared" ref="P4:P14" si="1">O4-N4</f>
        <v>0</v>
      </c>
      <c r="Q4" s="13"/>
      <c r="R4" s="45"/>
      <c r="S4" s="8">
        <f t="shared" ref="S4:S14" si="2">R4-Q4</f>
        <v>0</v>
      </c>
      <c r="T4" s="13"/>
      <c r="U4" s="45"/>
      <c r="V4" s="8">
        <f t="shared" ref="V4:V14" si="3">U4-T4</f>
        <v>0</v>
      </c>
      <c r="W4" s="13"/>
      <c r="X4" s="45"/>
      <c r="Y4" s="8">
        <f t="shared" ref="Y4:Y14" si="4">X4-W4</f>
        <v>0</v>
      </c>
      <c r="Z4" s="13"/>
      <c r="AA4" s="45"/>
      <c r="AB4" s="8">
        <f t="shared" ref="AB4:AB14" si="5">AA4-Z4</f>
        <v>0</v>
      </c>
      <c r="AC4" s="13"/>
      <c r="AD4" s="45"/>
      <c r="AE4" s="8">
        <f t="shared" ref="AE4:AE14" si="6">AD4-AC4</f>
        <v>0</v>
      </c>
      <c r="AF4" s="13"/>
      <c r="AG4" s="45"/>
      <c r="AH4" s="8">
        <f t="shared" ref="AH4:AH14" si="7">AG4-AF4</f>
        <v>0</v>
      </c>
      <c r="AI4" s="13"/>
      <c r="AJ4" s="45"/>
      <c r="AK4" s="8">
        <f t="shared" ref="AK4:AK14" si="8">AJ4-AI4</f>
        <v>0</v>
      </c>
      <c r="AL4" s="13"/>
      <c r="AM4" s="45"/>
      <c r="AN4" s="8">
        <f t="shared" ref="AN4:AN14" si="9">AM4-AL4</f>
        <v>0</v>
      </c>
      <c r="AO4" s="73">
        <f t="shared" ref="AO4:AO14" si="10">INDEX(BI4:BT4,1,$I$1)</f>
        <v>0</v>
      </c>
      <c r="AP4" s="80">
        <f t="shared" ref="AP4:AP14" si="11">INDEX(BU4:CF4,1,$I$1)</f>
        <v>0</v>
      </c>
      <c r="AQ4" s="22">
        <f>AP4-AO4</f>
        <v>0</v>
      </c>
      <c r="AR4" s="7" t="str">
        <f t="shared" ref="AR4" si="12">C4</f>
        <v>OMSÆTNING I ALT</v>
      </c>
      <c r="AT4" s="22"/>
      <c r="AU4" s="88">
        <f>INDEX(AW4:BH4,1,$I$1)</f>
        <v>0</v>
      </c>
      <c r="AV4" s="22">
        <f>AU4-AT4</f>
        <v>0</v>
      </c>
      <c r="AW4" s="4">
        <f>AL4+AI4+AF4+AC4+Z4+W4+T4+Q4+N4+K4+H4+F4</f>
        <v>0</v>
      </c>
      <c r="AX4" s="4">
        <f>AL4+AI4+AF4+AC4+Z4+W4+T4+Q4+N4+K4+I4+F4</f>
        <v>0</v>
      </c>
      <c r="AY4" s="4">
        <f>AL4+AI4+AF4+AC4+Z4+W4+T4+Q4+N4+L4+I4+F4</f>
        <v>0</v>
      </c>
      <c r="AZ4" s="4">
        <f>AL4+AI4+AF4+AC4+Z4+W4+T4+Q4+O4+L4+I4+F4</f>
        <v>0</v>
      </c>
      <c r="BA4" s="4">
        <f>AL4+AI4+AF4+AC4+Z4+W4+T4+R4+O4+L4+I4+F4</f>
        <v>0</v>
      </c>
      <c r="BB4" s="4">
        <f>AL4+AI4+AF4+AC4+Z4+W4+U4+R4+O4+L4+I4+F4</f>
        <v>0</v>
      </c>
      <c r="BC4" s="4">
        <f>AL4+AI4+AF4+AC4+Z4+X4+U4+R4+O4+L4+I4+F4</f>
        <v>0</v>
      </c>
      <c r="BD4" s="4">
        <f>AL4+AI4+AF4+AC4+AA4+X4+U4+R4+O4+L4+I4+F4</f>
        <v>0</v>
      </c>
      <c r="BE4" s="4">
        <f>AL4+AI4+AF4+AD4+AA4+X4+U4+R4+O4+L4+I4+F4</f>
        <v>0</v>
      </c>
      <c r="BF4" s="4">
        <f>AL4+AI4+AG4+AD4+AA4+X4+U4+R4+O4+L4+I4+F4</f>
        <v>0</v>
      </c>
      <c r="BG4" s="4">
        <f>AL4+AJ4+AG4+AD4+AA4+X4+U4+R4+O4+L4+I4+F4</f>
        <v>0</v>
      </c>
      <c r="BH4" s="4">
        <f>AM4+AJ4+AG4+AD4+AA4+X4+U4+R4+O4+L4+I4+F4</f>
        <v>0</v>
      </c>
      <c r="BI4" s="4">
        <f>E4</f>
        <v>0</v>
      </c>
      <c r="BJ4" s="4">
        <f t="shared" ref="BJ4:BJ15" si="13">BI4+H4</f>
        <v>0</v>
      </c>
      <c r="BK4" s="4">
        <f t="shared" ref="BK4:BK15" si="14">BJ4+K4</f>
        <v>0</v>
      </c>
      <c r="BL4" s="4">
        <f t="shared" ref="BL4:BL15" si="15">BK4+N4</f>
        <v>0</v>
      </c>
      <c r="BM4" s="4">
        <f t="shared" ref="BM4:BM15" si="16">BL4+Q4</f>
        <v>0</v>
      </c>
      <c r="BN4" s="4">
        <f t="shared" ref="BN4:BN15" si="17">BM4+T4</f>
        <v>0</v>
      </c>
      <c r="BO4" s="4">
        <f t="shared" ref="BO4:BO15" si="18">BN4+W4</f>
        <v>0</v>
      </c>
      <c r="BP4" s="4">
        <f t="shared" ref="BP4:BP15" si="19">BO4+Z4</f>
        <v>0</v>
      </c>
      <c r="BQ4" s="4">
        <f t="shared" ref="BQ4:BQ15" si="20">BP4+AC4</f>
        <v>0</v>
      </c>
      <c r="BR4" s="4">
        <f t="shared" ref="BR4:BR15" si="21">+BQ4+AF4</f>
        <v>0</v>
      </c>
      <c r="BS4" s="4">
        <f t="shared" ref="BS4:BS15" si="22">+BR4+AI4</f>
        <v>0</v>
      </c>
      <c r="BT4" s="4">
        <f t="shared" ref="BT4:BT15" si="23">BS4+AL4</f>
        <v>0</v>
      </c>
      <c r="BU4" s="4">
        <f>F4</f>
        <v>0</v>
      </c>
      <c r="BV4" s="4">
        <f t="shared" ref="BV4:BV15" si="24">BU4+I4</f>
        <v>0</v>
      </c>
      <c r="BW4" s="4">
        <f t="shared" ref="BW4:BW15" si="25">BV4+L4</f>
        <v>0</v>
      </c>
      <c r="BX4" s="4">
        <f t="shared" ref="BX4:BX15" si="26">BW4+O4</f>
        <v>0</v>
      </c>
      <c r="BY4" s="4">
        <f t="shared" ref="BY4:BY15" si="27">BX4+R4</f>
        <v>0</v>
      </c>
      <c r="BZ4" s="4">
        <f t="shared" ref="BZ4:BZ15" si="28">BY4+U4</f>
        <v>0</v>
      </c>
      <c r="CA4" s="4">
        <f t="shared" ref="CA4:CA15" si="29">BZ4+X4</f>
        <v>0</v>
      </c>
      <c r="CB4" s="4">
        <f t="shared" ref="CB4:CB15" si="30">CA4+AA4</f>
        <v>0</v>
      </c>
      <c r="CC4" s="4">
        <f t="shared" ref="CC4:CC15" si="31">CB4+AD4</f>
        <v>0</v>
      </c>
      <c r="CD4" s="4">
        <f t="shared" ref="CD4:CD15" si="32">+CC4+AG4</f>
        <v>0</v>
      </c>
      <c r="CE4" s="4">
        <f t="shared" ref="CE4:CE15" si="33">+CD4+AJ4</f>
        <v>0</v>
      </c>
      <c r="CF4" s="4">
        <f t="shared" ref="CF4:CF15" si="34">CE4+AM4</f>
        <v>0</v>
      </c>
    </row>
    <row r="5" spans="2:84" s="4" customFormat="1" x14ac:dyDescent="0.2">
      <c r="B5" s="2"/>
      <c r="C5" s="4" t="s">
        <v>108</v>
      </c>
      <c r="D5" s="4" t="s">
        <v>3</v>
      </c>
      <c r="E5" s="13"/>
      <c r="F5" s="45"/>
      <c r="G5" s="8">
        <f t="shared" ref="G5:G14" si="35">F5-E5</f>
        <v>0</v>
      </c>
      <c r="H5" s="13"/>
      <c r="I5" s="45"/>
      <c r="J5" s="8">
        <f t="shared" ref="J5:J6" si="36">I5-H5</f>
        <v>0</v>
      </c>
      <c r="K5" s="13"/>
      <c r="L5" s="45"/>
      <c r="M5" s="8">
        <f t="shared" si="0"/>
        <v>0</v>
      </c>
      <c r="N5" s="13"/>
      <c r="O5" s="45"/>
      <c r="P5" s="8">
        <f t="shared" si="1"/>
        <v>0</v>
      </c>
      <c r="Q5" s="13"/>
      <c r="R5" s="45"/>
      <c r="S5" s="8">
        <f t="shared" si="2"/>
        <v>0</v>
      </c>
      <c r="T5" s="13"/>
      <c r="U5" s="45"/>
      <c r="V5" s="8">
        <f t="shared" si="3"/>
        <v>0</v>
      </c>
      <c r="W5" s="13"/>
      <c r="X5" s="45"/>
      <c r="Y5" s="8">
        <f t="shared" si="4"/>
        <v>0</v>
      </c>
      <c r="Z5" s="13"/>
      <c r="AA5" s="45"/>
      <c r="AB5" s="8">
        <f t="shared" si="5"/>
        <v>0</v>
      </c>
      <c r="AC5" s="13"/>
      <c r="AD5" s="45"/>
      <c r="AE5" s="8">
        <f t="shared" si="6"/>
        <v>0</v>
      </c>
      <c r="AF5" s="13"/>
      <c r="AG5" s="45"/>
      <c r="AH5" s="8">
        <f t="shared" si="7"/>
        <v>0</v>
      </c>
      <c r="AI5" s="13"/>
      <c r="AJ5" s="45"/>
      <c r="AK5" s="8">
        <f t="shared" si="8"/>
        <v>0</v>
      </c>
      <c r="AL5" s="13"/>
      <c r="AM5" s="45"/>
      <c r="AN5" s="8">
        <f t="shared" si="9"/>
        <v>0</v>
      </c>
      <c r="AO5" s="73">
        <f t="shared" si="10"/>
        <v>0</v>
      </c>
      <c r="AP5" s="80">
        <f t="shared" si="11"/>
        <v>0</v>
      </c>
      <c r="AQ5" s="22">
        <f t="shared" ref="AQ5:AQ6" si="37">AP5-AO5</f>
        <v>0</v>
      </c>
      <c r="AR5" s="7" t="str">
        <f t="shared" ref="AR5:AR12" si="38">C5</f>
        <v xml:space="preserve">   SUM AF FRØ</v>
      </c>
      <c r="AT5" s="22"/>
      <c r="AU5" s="88">
        <f>INDEX(AW5:BH5,1,$I$1)</f>
        <v>0</v>
      </c>
      <c r="AV5" s="22">
        <f t="shared" ref="AV5:AV6" si="39">AU5-AT5</f>
        <v>0</v>
      </c>
      <c r="AW5" s="4">
        <f>AL5+AI5+AF5+AC5+Z5+W5+T5+Q5+N5+K5+H5+F5</f>
        <v>0</v>
      </c>
      <c r="AX5" s="4">
        <f>AL5+AI5+AF5+AC5+Z5+W5+T5+Q5+N5+K5+I5+F5</f>
        <v>0</v>
      </c>
      <c r="AY5" s="4">
        <f>AL5+AI5+AF5+AC5+Z5+W5+T5+Q5+N5+L5+I5+F5</f>
        <v>0</v>
      </c>
      <c r="AZ5" s="4">
        <f>AL5+AI5+AF5+AC5+Z5+W5+T5+Q5+O5+L5+I5+F5</f>
        <v>0</v>
      </c>
      <c r="BA5" s="4">
        <f>AL5+AI5+AF5+AC5+Z5+W5+T5+R5+O5+L5+I5+F5</f>
        <v>0</v>
      </c>
      <c r="BB5" s="4">
        <f>AL5+AI5+AF5+AC5+Z5+W5+U5+R5+O5+L5+I5+F5</f>
        <v>0</v>
      </c>
      <c r="BC5" s="4">
        <f>AL5+AI5+AF5+AC5+Z5+X5+U5+R5+O5+L5+I5+F5</f>
        <v>0</v>
      </c>
      <c r="BD5" s="4">
        <f>AL5+AI5+AF5+AC5+AA5+X5+U5+R5+O5+L5+I5+F5</f>
        <v>0</v>
      </c>
      <c r="BE5" s="4">
        <f>AL5+AI5+AF5+AD5+AA5+X5+U5+R5+O5+L5+I5+F5</f>
        <v>0</v>
      </c>
      <c r="BF5" s="4">
        <f>AL5+AI5+AG5+AD5+AA5+X5+U5+R5+O5+L5+I5+F5</f>
        <v>0</v>
      </c>
      <c r="BG5" s="4">
        <f>AL5+AJ5+AG5+AD5+AA5+X5+U5+R5+O5+L5+I5+F5</f>
        <v>0</v>
      </c>
      <c r="BH5" s="4">
        <f>AM5+AJ5+AG5+AD5+AA5+X5+U5+R5+O5+L5+I5+F5</f>
        <v>0</v>
      </c>
      <c r="BI5" s="4">
        <f t="shared" ref="BI5:BI15" si="40">E5</f>
        <v>0</v>
      </c>
      <c r="BJ5" s="4">
        <f t="shared" si="13"/>
        <v>0</v>
      </c>
      <c r="BK5" s="4">
        <f t="shared" si="14"/>
        <v>0</v>
      </c>
      <c r="BL5" s="4">
        <f t="shared" si="15"/>
        <v>0</v>
      </c>
      <c r="BM5" s="4">
        <f t="shared" si="16"/>
        <v>0</v>
      </c>
      <c r="BN5" s="4">
        <f t="shared" si="17"/>
        <v>0</v>
      </c>
      <c r="BO5" s="4">
        <f t="shared" si="18"/>
        <v>0</v>
      </c>
      <c r="BP5" s="4">
        <f t="shared" si="19"/>
        <v>0</v>
      </c>
      <c r="BQ5" s="4">
        <f t="shared" si="20"/>
        <v>0</v>
      </c>
      <c r="BR5" s="4">
        <f t="shared" si="21"/>
        <v>0</v>
      </c>
      <c r="BS5" s="4">
        <f t="shared" si="22"/>
        <v>0</v>
      </c>
      <c r="BT5" s="4">
        <f t="shared" si="23"/>
        <v>0</v>
      </c>
      <c r="BU5" s="4">
        <f t="shared" ref="BU5:BU14" si="41">F5</f>
        <v>0</v>
      </c>
      <c r="BV5" s="4">
        <f t="shared" si="24"/>
        <v>0</v>
      </c>
      <c r="BW5" s="4">
        <f t="shared" si="25"/>
        <v>0</v>
      </c>
      <c r="BX5" s="4">
        <f t="shared" si="26"/>
        <v>0</v>
      </c>
      <c r="BY5" s="4">
        <f t="shared" si="27"/>
        <v>0</v>
      </c>
      <c r="BZ5" s="4">
        <f t="shared" si="28"/>
        <v>0</v>
      </c>
      <c r="CA5" s="4">
        <f t="shared" si="29"/>
        <v>0</v>
      </c>
      <c r="CB5" s="4">
        <f t="shared" si="30"/>
        <v>0</v>
      </c>
      <c r="CC5" s="4">
        <f t="shared" si="31"/>
        <v>0</v>
      </c>
      <c r="CD5" s="4">
        <f t="shared" si="32"/>
        <v>0</v>
      </c>
      <c r="CE5" s="4">
        <f t="shared" si="33"/>
        <v>0</v>
      </c>
      <c r="CF5" s="4">
        <f t="shared" si="34"/>
        <v>0</v>
      </c>
    </row>
    <row r="6" spans="2:84" s="4" customFormat="1" x14ac:dyDescent="0.2">
      <c r="B6" s="2"/>
      <c r="C6" s="4" t="s">
        <v>90</v>
      </c>
      <c r="D6" s="4" t="s">
        <v>3</v>
      </c>
      <c r="E6" s="13"/>
      <c r="F6" s="45"/>
      <c r="G6" s="8">
        <f t="shared" si="35"/>
        <v>0</v>
      </c>
      <c r="H6" s="13"/>
      <c r="I6" s="45"/>
      <c r="J6" s="8">
        <f t="shared" si="36"/>
        <v>0</v>
      </c>
      <c r="K6" s="13"/>
      <c r="L6" s="45"/>
      <c r="M6" s="8">
        <f t="shared" si="0"/>
        <v>0</v>
      </c>
      <c r="N6" s="13"/>
      <c r="O6" s="45"/>
      <c r="P6" s="8">
        <f t="shared" si="1"/>
        <v>0</v>
      </c>
      <c r="Q6" s="13"/>
      <c r="R6" s="45"/>
      <c r="S6" s="8">
        <f t="shared" si="2"/>
        <v>0</v>
      </c>
      <c r="T6" s="13"/>
      <c r="U6" s="45"/>
      <c r="V6" s="8">
        <f t="shared" si="3"/>
        <v>0</v>
      </c>
      <c r="W6" s="13"/>
      <c r="X6" s="45"/>
      <c r="Y6" s="8">
        <f t="shared" si="4"/>
        <v>0</v>
      </c>
      <c r="Z6" s="13"/>
      <c r="AA6" s="45"/>
      <c r="AB6" s="8">
        <f t="shared" si="5"/>
        <v>0</v>
      </c>
      <c r="AC6" s="13"/>
      <c r="AD6" s="45"/>
      <c r="AE6" s="8">
        <f t="shared" si="6"/>
        <v>0</v>
      </c>
      <c r="AF6" s="13"/>
      <c r="AG6" s="45"/>
      <c r="AH6" s="8">
        <f t="shared" si="7"/>
        <v>0</v>
      </c>
      <c r="AI6" s="13"/>
      <c r="AJ6" s="45"/>
      <c r="AK6" s="8">
        <f t="shared" si="8"/>
        <v>0</v>
      </c>
      <c r="AL6" s="13"/>
      <c r="AM6" s="45"/>
      <c r="AN6" s="8">
        <f t="shared" si="9"/>
        <v>0</v>
      </c>
      <c r="AO6" s="73">
        <f t="shared" si="10"/>
        <v>0</v>
      </c>
      <c r="AP6" s="80">
        <f t="shared" si="11"/>
        <v>0</v>
      </c>
      <c r="AQ6" s="22">
        <f t="shared" si="37"/>
        <v>0</v>
      </c>
      <c r="AR6" s="7" t="str">
        <f t="shared" si="38"/>
        <v>VAREFORBRUG</v>
      </c>
      <c r="AT6" s="22"/>
      <c r="AU6" s="88">
        <f>INDEX(AW6:BH6,1,$I$1)</f>
        <v>0</v>
      </c>
      <c r="AV6" s="22">
        <f t="shared" si="39"/>
        <v>0</v>
      </c>
      <c r="AW6" s="4">
        <f>AL6+AI6+AF6+AC6+Z6+W6+T6+Q6+N6+K6+H6+F6</f>
        <v>0</v>
      </c>
      <c r="AX6" s="4">
        <f>AL6+AI6+AF6+AC6+Z6+W6+T6+Q6+N6+K6+I6+F6</f>
        <v>0</v>
      </c>
      <c r="AY6" s="4">
        <f>AL6+AI6+AF6+AC6+Z6+W6+T6+Q6+N6+L6+I6+F6</f>
        <v>0</v>
      </c>
      <c r="AZ6" s="4">
        <f>AL6+AI6+AF6+AC6+Z6+W6+T6+Q6+O6+L6+I6+F6</f>
        <v>0</v>
      </c>
      <c r="BA6" s="4">
        <f>AL6+AI6+AF6+AC6+Z6+W6+T6+R6+O6+L6+I6+F6</f>
        <v>0</v>
      </c>
      <c r="BB6" s="4">
        <f>AL6+AI6+AF6+AC6+Z6+W6+U6+R6+O6+L6+I6+F6</f>
        <v>0</v>
      </c>
      <c r="BC6" s="4">
        <f>AL6+AI6+AF6+AC6+Z6+X6+U6+R6+O6+L6+I6+F6</f>
        <v>0</v>
      </c>
      <c r="BD6" s="4">
        <f>AL6+AI6+AF6+AC6+AA6+X6+U6+R6+O6+L6+I6+F6</f>
        <v>0</v>
      </c>
      <c r="BE6" s="4">
        <f>AL6+AI6+AF6+AD6+AA6+X6+U6+R6+O6+L6+I6+F6</f>
        <v>0</v>
      </c>
      <c r="BF6" s="4">
        <f>AL6+AI6+AG6+AD6+AA6+X6+U6+R6+O6+L6+I6+F6</f>
        <v>0</v>
      </c>
      <c r="BG6" s="4">
        <f>AL6+AJ6+AG6+AD6+AA6+X6+U6+R6+O6+L6+I6+F6</f>
        <v>0</v>
      </c>
      <c r="BH6" s="4">
        <f>AM6+AJ6+AG6+AD6+AA6+X6+U6+R6+O6+L6+I6+F6</f>
        <v>0</v>
      </c>
      <c r="BI6" s="4">
        <f t="shared" si="40"/>
        <v>0</v>
      </c>
      <c r="BJ6" s="4">
        <f t="shared" si="13"/>
        <v>0</v>
      </c>
      <c r="BK6" s="4">
        <f t="shared" si="14"/>
        <v>0</v>
      </c>
      <c r="BL6" s="4">
        <f t="shared" si="15"/>
        <v>0</v>
      </c>
      <c r="BM6" s="4">
        <f t="shared" si="16"/>
        <v>0</v>
      </c>
      <c r="BN6" s="4">
        <f t="shared" si="17"/>
        <v>0</v>
      </c>
      <c r="BO6" s="4">
        <f t="shared" si="18"/>
        <v>0</v>
      </c>
      <c r="BP6" s="4">
        <f t="shared" si="19"/>
        <v>0</v>
      </c>
      <c r="BQ6" s="4">
        <f t="shared" si="20"/>
        <v>0</v>
      </c>
      <c r="BR6" s="4">
        <f t="shared" si="21"/>
        <v>0</v>
      </c>
      <c r="BS6" s="4">
        <f t="shared" si="22"/>
        <v>0</v>
      </c>
      <c r="BT6" s="4">
        <f t="shared" si="23"/>
        <v>0</v>
      </c>
      <c r="BU6" s="4">
        <f t="shared" si="41"/>
        <v>0</v>
      </c>
      <c r="BV6" s="4">
        <f t="shared" si="24"/>
        <v>0</v>
      </c>
      <c r="BW6" s="4">
        <f t="shared" si="25"/>
        <v>0</v>
      </c>
      <c r="BX6" s="4">
        <f t="shared" si="26"/>
        <v>0</v>
      </c>
      <c r="BY6" s="4">
        <f t="shared" si="27"/>
        <v>0</v>
      </c>
      <c r="BZ6" s="4">
        <f t="shared" si="28"/>
        <v>0</v>
      </c>
      <c r="CA6" s="4">
        <f t="shared" si="29"/>
        <v>0</v>
      </c>
      <c r="CB6" s="4">
        <f t="shared" si="30"/>
        <v>0</v>
      </c>
      <c r="CC6" s="4">
        <f t="shared" si="31"/>
        <v>0</v>
      </c>
      <c r="CD6" s="4">
        <f t="shared" si="32"/>
        <v>0</v>
      </c>
      <c r="CE6" s="4">
        <f t="shared" si="33"/>
        <v>0</v>
      </c>
      <c r="CF6" s="4">
        <f t="shared" si="34"/>
        <v>0</v>
      </c>
    </row>
    <row r="7" spans="2:84" s="5" customFormat="1" x14ac:dyDescent="0.2">
      <c r="B7" s="9"/>
      <c r="C7" s="5" t="s">
        <v>91</v>
      </c>
      <c r="E7" s="64">
        <f>SUM(E4:E6)</f>
        <v>0</v>
      </c>
      <c r="F7" s="5">
        <f>SUM(F4:F6)</f>
        <v>0</v>
      </c>
      <c r="G7" s="8">
        <f t="shared" si="35"/>
        <v>0</v>
      </c>
      <c r="H7" s="64">
        <f>SUM(H4:H6)</f>
        <v>0</v>
      </c>
      <c r="I7" s="5">
        <f>SUM(I4:I6)</f>
        <v>0</v>
      </c>
      <c r="J7" s="86">
        <f>I7-H7</f>
        <v>0</v>
      </c>
      <c r="K7" s="64">
        <f>SUM(K4:K6)</f>
        <v>0</v>
      </c>
      <c r="L7" s="5">
        <f>SUM(L4:L6)</f>
        <v>0</v>
      </c>
      <c r="M7" s="86">
        <f t="shared" si="0"/>
        <v>0</v>
      </c>
      <c r="N7" s="64">
        <f>SUM(N4:N6)</f>
        <v>0</v>
      </c>
      <c r="O7" s="5">
        <f>SUM(O4:O6)</f>
        <v>0</v>
      </c>
      <c r="P7" s="86">
        <f t="shared" si="1"/>
        <v>0</v>
      </c>
      <c r="Q7" s="64">
        <f>SUM(Q4:Q6)</f>
        <v>0</v>
      </c>
      <c r="R7" s="5">
        <f>SUM(R4:R6)</f>
        <v>0</v>
      </c>
      <c r="S7" s="86">
        <f t="shared" si="2"/>
        <v>0</v>
      </c>
      <c r="T7" s="64">
        <f>SUM(T4:T6)</f>
        <v>0</v>
      </c>
      <c r="U7" s="5">
        <f>SUM(U4:U6)</f>
        <v>0</v>
      </c>
      <c r="V7" s="86">
        <f t="shared" si="3"/>
        <v>0</v>
      </c>
      <c r="W7" s="64">
        <f>SUM(W4:W6)</f>
        <v>0</v>
      </c>
      <c r="X7" s="5">
        <f>SUM(X4:X6)</f>
        <v>0</v>
      </c>
      <c r="Y7" s="86">
        <f t="shared" si="4"/>
        <v>0</v>
      </c>
      <c r="Z7" s="64">
        <f>SUM(Z4:Z6)</f>
        <v>0</v>
      </c>
      <c r="AA7" s="5">
        <f>SUM(AA4:AA6)</f>
        <v>0</v>
      </c>
      <c r="AB7" s="86">
        <f t="shared" si="5"/>
        <v>0</v>
      </c>
      <c r="AC7" s="64">
        <f>SUM(AC4:AC6)</f>
        <v>0</v>
      </c>
      <c r="AD7" s="5">
        <f>SUM(AD4:AD6)</f>
        <v>0</v>
      </c>
      <c r="AE7" s="86">
        <f t="shared" si="6"/>
        <v>0</v>
      </c>
      <c r="AF7" s="64">
        <f>SUM(AF4:AF6)</f>
        <v>0</v>
      </c>
      <c r="AG7" s="5">
        <f>SUM(AG4:AG6)</f>
        <v>0</v>
      </c>
      <c r="AH7" s="86">
        <f t="shared" si="7"/>
        <v>0</v>
      </c>
      <c r="AI7" s="64">
        <f>SUM(AI4:AI6)</f>
        <v>0</v>
      </c>
      <c r="AJ7" s="5">
        <f>SUM(AJ4:AJ6)</f>
        <v>0</v>
      </c>
      <c r="AK7" s="86">
        <f t="shared" si="8"/>
        <v>0</v>
      </c>
      <c r="AL7" s="64">
        <f>SUM(AL4:AL6)</f>
        <v>0</v>
      </c>
      <c r="AM7" s="5">
        <f>SUM(AM4:AM6)</f>
        <v>0</v>
      </c>
      <c r="AN7" s="86">
        <f t="shared" si="9"/>
        <v>0</v>
      </c>
      <c r="AO7" s="87">
        <f t="shared" si="10"/>
        <v>0</v>
      </c>
      <c r="AP7" s="87">
        <f t="shared" si="11"/>
        <v>0</v>
      </c>
      <c r="AQ7" s="87">
        <f>SUM(AQ4:AQ6)</f>
        <v>0</v>
      </c>
      <c r="AR7" s="64" t="str">
        <f t="shared" si="38"/>
        <v>DÆKNINGSBIDRAG</v>
      </c>
      <c r="AT7" s="87">
        <f>SUM(AT4:AT6)</f>
        <v>0</v>
      </c>
      <c r="AU7" s="86">
        <f>SUM(AU4:AU6)</f>
        <v>0</v>
      </c>
      <c r="AV7" s="87">
        <f>SUM(AV4:AV6)</f>
        <v>0</v>
      </c>
      <c r="AW7" s="5">
        <f>SUM(AW4:AW6)</f>
        <v>0</v>
      </c>
      <c r="AX7" s="5">
        <f>SUM(AX4:AX6)</f>
        <v>0</v>
      </c>
      <c r="AY7" s="5">
        <f t="shared" ref="AY7:BH7" si="42">SUM(AY4:AY6)</f>
        <v>0</v>
      </c>
      <c r="AZ7" s="5">
        <f t="shared" si="42"/>
        <v>0</v>
      </c>
      <c r="BA7" s="5">
        <f t="shared" si="42"/>
        <v>0</v>
      </c>
      <c r="BB7" s="5">
        <f t="shared" si="42"/>
        <v>0</v>
      </c>
      <c r="BC7" s="5">
        <f t="shared" si="42"/>
        <v>0</v>
      </c>
      <c r="BD7" s="5">
        <f t="shared" si="42"/>
        <v>0</v>
      </c>
      <c r="BE7" s="5">
        <f t="shared" si="42"/>
        <v>0</v>
      </c>
      <c r="BF7" s="5">
        <f t="shared" si="42"/>
        <v>0</v>
      </c>
      <c r="BG7" s="5">
        <f t="shared" si="42"/>
        <v>0</v>
      </c>
      <c r="BH7" s="5">
        <f t="shared" si="42"/>
        <v>0</v>
      </c>
      <c r="BI7" s="5">
        <f t="shared" si="40"/>
        <v>0</v>
      </c>
      <c r="BJ7" s="5">
        <f t="shared" si="13"/>
        <v>0</v>
      </c>
      <c r="BK7" s="5">
        <f t="shared" si="14"/>
        <v>0</v>
      </c>
      <c r="BL7" s="5">
        <f t="shared" si="15"/>
        <v>0</v>
      </c>
      <c r="BM7" s="5">
        <f t="shared" si="16"/>
        <v>0</v>
      </c>
      <c r="BN7" s="5">
        <f t="shared" si="17"/>
        <v>0</v>
      </c>
      <c r="BO7" s="5">
        <f t="shared" si="18"/>
        <v>0</v>
      </c>
      <c r="BP7" s="5">
        <f t="shared" si="19"/>
        <v>0</v>
      </c>
      <c r="BQ7" s="5">
        <f t="shared" si="20"/>
        <v>0</v>
      </c>
      <c r="BR7" s="5">
        <f t="shared" si="21"/>
        <v>0</v>
      </c>
      <c r="BS7" s="5">
        <f t="shared" si="22"/>
        <v>0</v>
      </c>
      <c r="BT7" s="5">
        <f t="shared" si="23"/>
        <v>0</v>
      </c>
      <c r="BU7" s="5">
        <f t="shared" si="41"/>
        <v>0</v>
      </c>
      <c r="BV7" s="5">
        <f t="shared" si="24"/>
        <v>0</v>
      </c>
      <c r="BW7" s="5">
        <f t="shared" si="25"/>
        <v>0</v>
      </c>
      <c r="BX7" s="5">
        <f t="shared" si="26"/>
        <v>0</v>
      </c>
      <c r="BY7" s="5">
        <f t="shared" si="27"/>
        <v>0</v>
      </c>
      <c r="BZ7" s="5">
        <f t="shared" si="28"/>
        <v>0</v>
      </c>
      <c r="CA7" s="5">
        <f t="shared" si="29"/>
        <v>0</v>
      </c>
      <c r="CB7" s="5">
        <f t="shared" si="30"/>
        <v>0</v>
      </c>
      <c r="CC7" s="5">
        <f t="shared" si="31"/>
        <v>0</v>
      </c>
      <c r="CD7" s="5">
        <f t="shared" si="32"/>
        <v>0</v>
      </c>
      <c r="CE7" s="5">
        <f t="shared" si="33"/>
        <v>0</v>
      </c>
      <c r="CF7" s="5">
        <f t="shared" si="34"/>
        <v>0</v>
      </c>
    </row>
    <row r="8" spans="2:84" s="4" customFormat="1" x14ac:dyDescent="0.2">
      <c r="B8" s="2"/>
      <c r="C8" s="4" t="s">
        <v>92</v>
      </c>
      <c r="E8" s="13"/>
      <c r="F8" s="45"/>
      <c r="G8" s="8">
        <f t="shared" si="35"/>
        <v>0</v>
      </c>
      <c r="H8" s="13"/>
      <c r="I8" s="45"/>
      <c r="J8" s="8">
        <f t="shared" ref="J8:J14" si="43">I8-H8</f>
        <v>0</v>
      </c>
      <c r="K8" s="13"/>
      <c r="L8" s="14"/>
      <c r="M8" s="8">
        <f t="shared" si="0"/>
        <v>0</v>
      </c>
      <c r="N8" s="35"/>
      <c r="O8" s="45"/>
      <c r="P8" s="8">
        <f t="shared" si="1"/>
        <v>0</v>
      </c>
      <c r="Q8" s="35"/>
      <c r="R8" s="45"/>
      <c r="S8" s="8">
        <f t="shared" si="2"/>
        <v>0</v>
      </c>
      <c r="T8" s="35"/>
      <c r="U8" s="14"/>
      <c r="V8" s="8">
        <f t="shared" si="3"/>
        <v>0</v>
      </c>
      <c r="W8" s="35"/>
      <c r="X8" s="45"/>
      <c r="Y8" s="8">
        <f t="shared" si="4"/>
        <v>0</v>
      </c>
      <c r="Z8" s="35"/>
      <c r="AA8" s="45"/>
      <c r="AB8" s="8">
        <f t="shared" si="5"/>
        <v>0</v>
      </c>
      <c r="AC8" s="35"/>
      <c r="AD8" s="45"/>
      <c r="AE8" s="8">
        <f t="shared" si="6"/>
        <v>0</v>
      </c>
      <c r="AF8" s="35"/>
      <c r="AG8" s="45"/>
      <c r="AH8" s="8">
        <f t="shared" si="7"/>
        <v>0</v>
      </c>
      <c r="AI8" s="13"/>
      <c r="AJ8" s="45"/>
      <c r="AK8" s="8">
        <f t="shared" si="8"/>
        <v>0</v>
      </c>
      <c r="AL8" s="13"/>
      <c r="AM8" s="45"/>
      <c r="AN8" s="8">
        <f t="shared" si="9"/>
        <v>0</v>
      </c>
      <c r="AO8" s="98">
        <f t="shared" si="10"/>
        <v>0</v>
      </c>
      <c r="AP8" s="80">
        <f t="shared" si="11"/>
        <v>0</v>
      </c>
      <c r="AQ8" s="22">
        <f t="shared" ref="AQ8:AQ14" si="44">AP8-AO8</f>
        <v>0</v>
      </c>
      <c r="AR8" s="7" t="str">
        <f t="shared" si="38"/>
        <v>LØNNINGER MV. I ALT</v>
      </c>
      <c r="AT8" s="22"/>
      <c r="AU8" s="88">
        <f t="shared" ref="AU8:AU14" si="45">INDEX(AW8:BH8,1,$I$1)</f>
        <v>0</v>
      </c>
      <c r="AV8" s="22">
        <f t="shared" ref="AV8:AV14" si="46">AU8-AT8</f>
        <v>0</v>
      </c>
      <c r="AW8" s="4">
        <f t="shared" ref="AW8:AW14" si="47">AL8+AI8+AF8+AC8+Z8+W8+T8+Q8+N8+K8+H8+F8</f>
        <v>0</v>
      </c>
      <c r="AX8" s="4">
        <f t="shared" ref="AX8:AX14" si="48">AL8+AI8+AF8+AC8+Z8+W8+T8+Q8+N8+K8+I8+F8</f>
        <v>0</v>
      </c>
      <c r="AY8" s="4">
        <f t="shared" ref="AY8:AY14" si="49">AL8+AI8+AF8+AC8+Z8+W8+T8+Q8+N8+L8+I8+F8</f>
        <v>0</v>
      </c>
      <c r="AZ8" s="4">
        <f t="shared" ref="AZ8:AZ14" si="50">AL8+AI8+AF8+AC8+Z8+W8+T8+Q8+O8+L8+I8+F8</f>
        <v>0</v>
      </c>
      <c r="BA8" s="4">
        <f t="shared" ref="BA8:BA14" si="51">AL8+AI8+AF8+AC8+Z8+W8+T8+R8+O8+L8+I8+F8</f>
        <v>0</v>
      </c>
      <c r="BB8" s="4">
        <f t="shared" ref="BB8:BB14" si="52">AL8+AI8+AF8+AC8+Z8+W8+U8+R8+O8+L8+I8+F8</f>
        <v>0</v>
      </c>
      <c r="BC8" s="4">
        <f t="shared" ref="BC8:BC14" si="53">AL8+AI8+AF8+AC8+Z8+X8+U8+R8+O8+L8+I8+F8</f>
        <v>0</v>
      </c>
      <c r="BD8" s="4">
        <f t="shared" ref="BD8:BD14" si="54">AL8+AI8+AF8+AC8+AA8+X8+U8+R8+O8+L8+I8+F8</f>
        <v>0</v>
      </c>
      <c r="BE8" s="4">
        <f t="shared" ref="BE8:BE14" si="55">AL8+AI8+AF8+AD8+AA8+X8+U8+R8+O8+L8+I8+F8</f>
        <v>0</v>
      </c>
      <c r="BF8" s="4">
        <f t="shared" ref="BF8:BF14" si="56">AL8+AI8+AG8+AD8+AA8+X8+U8+R8+O8+L8+I8+F8</f>
        <v>0</v>
      </c>
      <c r="BG8" s="4">
        <f t="shared" ref="BG8:BG14" si="57">AL8+AJ8+AG8+AD8+AA8+X8+U8+R8+O8+L8+I8+F8</f>
        <v>0</v>
      </c>
      <c r="BH8" s="4">
        <f t="shared" ref="BH8:BH14" si="58">AM8+AJ8+AG8+AD8+AA8+X8+U8+R8+O8+L8+I8+F8</f>
        <v>0</v>
      </c>
      <c r="BI8" s="4">
        <f t="shared" si="40"/>
        <v>0</v>
      </c>
      <c r="BJ8" s="4">
        <f t="shared" si="13"/>
        <v>0</v>
      </c>
      <c r="BK8" s="4">
        <f t="shared" si="14"/>
        <v>0</v>
      </c>
      <c r="BL8" s="4">
        <f t="shared" si="15"/>
        <v>0</v>
      </c>
      <c r="BM8" s="4">
        <f t="shared" si="16"/>
        <v>0</v>
      </c>
      <c r="BN8" s="4">
        <f t="shared" si="17"/>
        <v>0</v>
      </c>
      <c r="BO8" s="4">
        <f t="shared" si="18"/>
        <v>0</v>
      </c>
      <c r="BP8" s="4">
        <f t="shared" si="19"/>
        <v>0</v>
      </c>
      <c r="BQ8" s="4">
        <f t="shared" si="20"/>
        <v>0</v>
      </c>
      <c r="BR8" s="4">
        <f t="shared" si="21"/>
        <v>0</v>
      </c>
      <c r="BS8" s="4">
        <f t="shared" si="22"/>
        <v>0</v>
      </c>
      <c r="BT8" s="4">
        <f t="shared" si="23"/>
        <v>0</v>
      </c>
      <c r="BU8" s="4">
        <f t="shared" si="41"/>
        <v>0</v>
      </c>
      <c r="BV8" s="4">
        <f t="shared" si="24"/>
        <v>0</v>
      </c>
      <c r="BW8" s="4">
        <f t="shared" si="25"/>
        <v>0</v>
      </c>
      <c r="BX8" s="4">
        <f t="shared" si="26"/>
        <v>0</v>
      </c>
      <c r="BY8" s="4">
        <f t="shared" si="27"/>
        <v>0</v>
      </c>
      <c r="BZ8" s="4">
        <f t="shared" si="28"/>
        <v>0</v>
      </c>
      <c r="CA8" s="4">
        <f t="shared" si="29"/>
        <v>0</v>
      </c>
      <c r="CB8" s="4">
        <f t="shared" si="30"/>
        <v>0</v>
      </c>
      <c r="CC8" s="4">
        <f t="shared" si="31"/>
        <v>0</v>
      </c>
      <c r="CD8" s="4">
        <f t="shared" si="32"/>
        <v>0</v>
      </c>
      <c r="CE8" s="4">
        <f t="shared" si="33"/>
        <v>0</v>
      </c>
      <c r="CF8" s="4">
        <f t="shared" si="34"/>
        <v>0</v>
      </c>
    </row>
    <row r="9" spans="2:84" s="4" customFormat="1" x14ac:dyDescent="0.2">
      <c r="B9" s="2"/>
      <c r="C9" s="4" t="s">
        <v>93</v>
      </c>
      <c r="D9" s="4" t="s">
        <v>3</v>
      </c>
      <c r="E9" s="13"/>
      <c r="F9" s="45"/>
      <c r="G9" s="8">
        <f t="shared" si="35"/>
        <v>0</v>
      </c>
      <c r="H9" s="13"/>
      <c r="I9" s="45"/>
      <c r="J9" s="8">
        <f t="shared" si="43"/>
        <v>0</v>
      </c>
      <c r="K9" s="13"/>
      <c r="L9" s="45"/>
      <c r="M9" s="8">
        <f t="shared" si="0"/>
        <v>0</v>
      </c>
      <c r="N9" s="13"/>
      <c r="O9" s="45"/>
      <c r="P9" s="8">
        <f t="shared" si="1"/>
        <v>0</v>
      </c>
      <c r="Q9" s="13"/>
      <c r="R9" s="45"/>
      <c r="S9" s="8">
        <f t="shared" si="2"/>
        <v>0</v>
      </c>
      <c r="T9" s="13"/>
      <c r="U9" s="45"/>
      <c r="V9" s="8">
        <f t="shared" si="3"/>
        <v>0</v>
      </c>
      <c r="W9" s="13"/>
      <c r="X9" s="45"/>
      <c r="Y9" s="8">
        <f t="shared" si="4"/>
        <v>0</v>
      </c>
      <c r="Z9" s="13"/>
      <c r="AA9" s="45"/>
      <c r="AB9" s="8">
        <f t="shared" si="5"/>
        <v>0</v>
      </c>
      <c r="AC9" s="13"/>
      <c r="AD9" s="45"/>
      <c r="AE9" s="8">
        <f t="shared" si="6"/>
        <v>0</v>
      </c>
      <c r="AF9" s="13"/>
      <c r="AG9" s="45"/>
      <c r="AH9" s="8">
        <f t="shared" si="7"/>
        <v>0</v>
      </c>
      <c r="AI9" s="13"/>
      <c r="AJ9" s="45"/>
      <c r="AK9" s="8">
        <f t="shared" si="8"/>
        <v>0</v>
      </c>
      <c r="AL9" s="13"/>
      <c r="AM9" s="45"/>
      <c r="AN9" s="8">
        <f t="shared" si="9"/>
        <v>0</v>
      </c>
      <c r="AO9" s="98">
        <f t="shared" si="10"/>
        <v>0</v>
      </c>
      <c r="AP9" s="80">
        <f t="shared" si="11"/>
        <v>0</v>
      </c>
      <c r="AQ9" s="22">
        <f t="shared" si="44"/>
        <v>0</v>
      </c>
      <c r="AR9" s="7" t="str">
        <f t="shared" si="38"/>
        <v>SALGSOMKOSTNINGER</v>
      </c>
      <c r="AT9" s="22"/>
      <c r="AU9" s="88">
        <f t="shared" si="45"/>
        <v>0</v>
      </c>
      <c r="AV9" s="22">
        <f t="shared" si="46"/>
        <v>0</v>
      </c>
      <c r="AW9" s="4">
        <f t="shared" si="47"/>
        <v>0</v>
      </c>
      <c r="AX9" s="4">
        <f t="shared" si="48"/>
        <v>0</v>
      </c>
      <c r="AY9" s="4">
        <f t="shared" si="49"/>
        <v>0</v>
      </c>
      <c r="AZ9" s="4">
        <f t="shared" si="50"/>
        <v>0</v>
      </c>
      <c r="BA9" s="4">
        <f t="shared" si="51"/>
        <v>0</v>
      </c>
      <c r="BB9" s="4">
        <f t="shared" si="52"/>
        <v>0</v>
      </c>
      <c r="BC9" s="4">
        <f t="shared" si="53"/>
        <v>0</v>
      </c>
      <c r="BD9" s="4">
        <f t="shared" si="54"/>
        <v>0</v>
      </c>
      <c r="BE9" s="4">
        <f t="shared" si="55"/>
        <v>0</v>
      </c>
      <c r="BF9" s="4">
        <f t="shared" si="56"/>
        <v>0</v>
      </c>
      <c r="BG9" s="4">
        <f t="shared" si="57"/>
        <v>0</v>
      </c>
      <c r="BH9" s="4">
        <f t="shared" si="58"/>
        <v>0</v>
      </c>
      <c r="BI9" s="4">
        <f t="shared" si="40"/>
        <v>0</v>
      </c>
      <c r="BJ9" s="4">
        <f t="shared" si="13"/>
        <v>0</v>
      </c>
      <c r="BK9" s="4">
        <f t="shared" si="14"/>
        <v>0</v>
      </c>
      <c r="BL9" s="4">
        <f t="shared" si="15"/>
        <v>0</v>
      </c>
      <c r="BM9" s="4">
        <f t="shared" si="16"/>
        <v>0</v>
      </c>
      <c r="BN9" s="4">
        <f t="shared" si="17"/>
        <v>0</v>
      </c>
      <c r="BO9" s="4">
        <f t="shared" si="18"/>
        <v>0</v>
      </c>
      <c r="BP9" s="4">
        <f t="shared" si="19"/>
        <v>0</v>
      </c>
      <c r="BQ9" s="4">
        <f t="shared" si="20"/>
        <v>0</v>
      </c>
      <c r="BR9" s="4">
        <f t="shared" si="21"/>
        <v>0</v>
      </c>
      <c r="BS9" s="4">
        <f t="shared" si="22"/>
        <v>0</v>
      </c>
      <c r="BT9" s="4">
        <f t="shared" si="23"/>
        <v>0</v>
      </c>
      <c r="BU9" s="4">
        <f t="shared" si="41"/>
        <v>0</v>
      </c>
      <c r="BV9" s="4">
        <f t="shared" si="24"/>
        <v>0</v>
      </c>
      <c r="BW9" s="4">
        <f t="shared" si="25"/>
        <v>0</v>
      </c>
      <c r="BX9" s="4">
        <f t="shared" si="26"/>
        <v>0</v>
      </c>
      <c r="BY9" s="4">
        <f t="shared" si="27"/>
        <v>0</v>
      </c>
      <c r="BZ9" s="4">
        <f t="shared" si="28"/>
        <v>0</v>
      </c>
      <c r="CA9" s="4">
        <f t="shared" si="29"/>
        <v>0</v>
      </c>
      <c r="CB9" s="4">
        <f t="shared" si="30"/>
        <v>0</v>
      </c>
      <c r="CC9" s="4">
        <f t="shared" si="31"/>
        <v>0</v>
      </c>
      <c r="CD9" s="4">
        <f t="shared" si="32"/>
        <v>0</v>
      </c>
      <c r="CE9" s="4">
        <f t="shared" si="33"/>
        <v>0</v>
      </c>
      <c r="CF9" s="4">
        <f t="shared" si="34"/>
        <v>0</v>
      </c>
    </row>
    <row r="10" spans="2:84" s="4" customFormat="1" x14ac:dyDescent="0.2">
      <c r="B10" s="2"/>
      <c r="C10" s="4" t="s">
        <v>94</v>
      </c>
      <c r="D10" s="4" t="s">
        <v>3</v>
      </c>
      <c r="E10" s="13"/>
      <c r="F10" s="45"/>
      <c r="G10" s="8">
        <f t="shared" si="35"/>
        <v>0</v>
      </c>
      <c r="H10" s="13"/>
      <c r="I10" s="45"/>
      <c r="J10" s="8">
        <f t="shared" si="43"/>
        <v>0</v>
      </c>
      <c r="K10" s="13"/>
      <c r="L10" s="45"/>
      <c r="M10" s="8">
        <f t="shared" si="0"/>
        <v>0</v>
      </c>
      <c r="N10" s="13"/>
      <c r="O10" s="45"/>
      <c r="P10" s="8">
        <f t="shared" si="1"/>
        <v>0</v>
      </c>
      <c r="Q10" s="13"/>
      <c r="R10" s="45"/>
      <c r="S10" s="8">
        <f t="shared" si="2"/>
        <v>0</v>
      </c>
      <c r="T10" s="13"/>
      <c r="U10" s="45"/>
      <c r="V10" s="8">
        <f t="shared" si="3"/>
        <v>0</v>
      </c>
      <c r="W10" s="13"/>
      <c r="X10" s="45"/>
      <c r="Y10" s="8">
        <f t="shared" si="4"/>
        <v>0</v>
      </c>
      <c r="Z10" s="13"/>
      <c r="AA10" s="45"/>
      <c r="AB10" s="8">
        <f t="shared" si="5"/>
        <v>0</v>
      </c>
      <c r="AC10" s="13"/>
      <c r="AD10" s="45"/>
      <c r="AE10" s="8">
        <f t="shared" si="6"/>
        <v>0</v>
      </c>
      <c r="AF10" s="13"/>
      <c r="AG10" s="45"/>
      <c r="AH10" s="8">
        <f t="shared" si="7"/>
        <v>0</v>
      </c>
      <c r="AI10" s="13"/>
      <c r="AJ10" s="45"/>
      <c r="AK10" s="8">
        <f t="shared" si="8"/>
        <v>0</v>
      </c>
      <c r="AL10" s="13"/>
      <c r="AM10" s="45"/>
      <c r="AN10" s="8">
        <f t="shared" si="9"/>
        <v>0</v>
      </c>
      <c r="AO10" s="98">
        <f t="shared" si="10"/>
        <v>0</v>
      </c>
      <c r="AP10" s="80">
        <f t="shared" si="11"/>
        <v>0</v>
      </c>
      <c r="AQ10" s="22">
        <f t="shared" si="44"/>
        <v>0</v>
      </c>
      <c r="AR10" s="7" t="str">
        <f t="shared" si="38"/>
        <v>LOKALEOMKOSTNINGER</v>
      </c>
      <c r="AT10" s="22"/>
      <c r="AU10" s="88">
        <f t="shared" si="45"/>
        <v>0</v>
      </c>
      <c r="AV10" s="22">
        <f t="shared" si="46"/>
        <v>0</v>
      </c>
      <c r="AW10" s="4">
        <f t="shared" si="47"/>
        <v>0</v>
      </c>
      <c r="AX10" s="4">
        <f t="shared" si="48"/>
        <v>0</v>
      </c>
      <c r="AY10" s="4">
        <f t="shared" si="49"/>
        <v>0</v>
      </c>
      <c r="AZ10" s="4">
        <f t="shared" si="50"/>
        <v>0</v>
      </c>
      <c r="BA10" s="4">
        <f t="shared" si="51"/>
        <v>0</v>
      </c>
      <c r="BB10" s="4">
        <f t="shared" si="52"/>
        <v>0</v>
      </c>
      <c r="BC10" s="4">
        <f t="shared" si="53"/>
        <v>0</v>
      </c>
      <c r="BD10" s="4">
        <f t="shared" si="54"/>
        <v>0</v>
      </c>
      <c r="BE10" s="4">
        <f t="shared" si="55"/>
        <v>0</v>
      </c>
      <c r="BF10" s="4">
        <f t="shared" si="56"/>
        <v>0</v>
      </c>
      <c r="BG10" s="4">
        <f t="shared" si="57"/>
        <v>0</v>
      </c>
      <c r="BH10" s="4">
        <f t="shared" si="58"/>
        <v>0</v>
      </c>
      <c r="BI10" s="4">
        <f t="shared" si="40"/>
        <v>0</v>
      </c>
      <c r="BJ10" s="4">
        <f t="shared" si="13"/>
        <v>0</v>
      </c>
      <c r="BK10" s="4">
        <f t="shared" si="14"/>
        <v>0</v>
      </c>
      <c r="BL10" s="4">
        <f t="shared" si="15"/>
        <v>0</v>
      </c>
      <c r="BM10" s="4">
        <f t="shared" si="16"/>
        <v>0</v>
      </c>
      <c r="BN10" s="4">
        <f t="shared" si="17"/>
        <v>0</v>
      </c>
      <c r="BO10" s="4">
        <f t="shared" si="18"/>
        <v>0</v>
      </c>
      <c r="BP10" s="4">
        <f t="shared" si="19"/>
        <v>0</v>
      </c>
      <c r="BQ10" s="4">
        <f t="shared" si="20"/>
        <v>0</v>
      </c>
      <c r="BR10" s="4">
        <f t="shared" si="21"/>
        <v>0</v>
      </c>
      <c r="BS10" s="4">
        <f t="shared" si="22"/>
        <v>0</v>
      </c>
      <c r="BT10" s="4">
        <f t="shared" si="23"/>
        <v>0</v>
      </c>
      <c r="BU10" s="4">
        <f t="shared" si="41"/>
        <v>0</v>
      </c>
      <c r="BV10" s="4">
        <f t="shared" si="24"/>
        <v>0</v>
      </c>
      <c r="BW10" s="4">
        <f t="shared" si="25"/>
        <v>0</v>
      </c>
      <c r="BX10" s="4">
        <f t="shared" si="26"/>
        <v>0</v>
      </c>
      <c r="BY10" s="4">
        <f t="shared" si="27"/>
        <v>0</v>
      </c>
      <c r="BZ10" s="4">
        <f t="shared" si="28"/>
        <v>0</v>
      </c>
      <c r="CA10" s="4">
        <f t="shared" si="29"/>
        <v>0</v>
      </c>
      <c r="CB10" s="4">
        <f t="shared" si="30"/>
        <v>0</v>
      </c>
      <c r="CC10" s="4">
        <f t="shared" si="31"/>
        <v>0</v>
      </c>
      <c r="CD10" s="4">
        <f t="shared" si="32"/>
        <v>0</v>
      </c>
      <c r="CE10" s="4">
        <f t="shared" si="33"/>
        <v>0</v>
      </c>
      <c r="CF10" s="4">
        <f t="shared" si="34"/>
        <v>0</v>
      </c>
    </row>
    <row r="11" spans="2:84" s="4" customFormat="1" x14ac:dyDescent="0.2">
      <c r="B11" s="2"/>
      <c r="C11" s="4" t="s">
        <v>95</v>
      </c>
      <c r="D11" s="4" t="s">
        <v>3</v>
      </c>
      <c r="E11" s="13"/>
      <c r="F11" s="45"/>
      <c r="G11" s="8">
        <f t="shared" si="35"/>
        <v>0</v>
      </c>
      <c r="H11" s="13"/>
      <c r="I11" s="45"/>
      <c r="J11" s="8">
        <f t="shared" si="43"/>
        <v>0</v>
      </c>
      <c r="K11" s="13"/>
      <c r="L11" s="45"/>
      <c r="M11" s="8">
        <f t="shared" si="0"/>
        <v>0</v>
      </c>
      <c r="N11" s="13"/>
      <c r="O11" s="45"/>
      <c r="P11" s="8">
        <f t="shared" si="1"/>
        <v>0</v>
      </c>
      <c r="Q11" s="13"/>
      <c r="R11" s="45"/>
      <c r="S11" s="8">
        <f t="shared" si="2"/>
        <v>0</v>
      </c>
      <c r="T11" s="13"/>
      <c r="U11" s="45"/>
      <c r="V11" s="8">
        <f t="shared" si="3"/>
        <v>0</v>
      </c>
      <c r="W11" s="13"/>
      <c r="X11" s="45"/>
      <c r="Y11" s="8">
        <f t="shared" si="4"/>
        <v>0</v>
      </c>
      <c r="Z11" s="13"/>
      <c r="AA11" s="45"/>
      <c r="AB11" s="8">
        <f t="shared" si="5"/>
        <v>0</v>
      </c>
      <c r="AC11" s="13"/>
      <c r="AD11" s="45"/>
      <c r="AE11" s="8">
        <f t="shared" si="6"/>
        <v>0</v>
      </c>
      <c r="AF11" s="13"/>
      <c r="AG11" s="45"/>
      <c r="AH11" s="8">
        <f t="shared" si="7"/>
        <v>0</v>
      </c>
      <c r="AI11" s="13"/>
      <c r="AJ11" s="45"/>
      <c r="AK11" s="8">
        <f t="shared" si="8"/>
        <v>0</v>
      </c>
      <c r="AL11" s="13"/>
      <c r="AM11" s="45"/>
      <c r="AN11" s="8">
        <f t="shared" si="9"/>
        <v>0</v>
      </c>
      <c r="AO11" s="98">
        <f t="shared" si="10"/>
        <v>0</v>
      </c>
      <c r="AP11" s="80">
        <f t="shared" si="11"/>
        <v>0</v>
      </c>
      <c r="AQ11" s="22">
        <f t="shared" si="44"/>
        <v>0</v>
      </c>
      <c r="AR11" s="7" t="str">
        <f t="shared" si="38"/>
        <v>TRANSPORTOMKOSTNINGER</v>
      </c>
      <c r="AT11" s="22"/>
      <c r="AU11" s="88">
        <f t="shared" si="45"/>
        <v>0</v>
      </c>
      <c r="AV11" s="22">
        <f t="shared" si="46"/>
        <v>0</v>
      </c>
      <c r="AW11" s="4">
        <f t="shared" si="47"/>
        <v>0</v>
      </c>
      <c r="AX11" s="4">
        <f t="shared" si="48"/>
        <v>0</v>
      </c>
      <c r="AY11" s="4">
        <f t="shared" si="49"/>
        <v>0</v>
      </c>
      <c r="AZ11" s="4">
        <f t="shared" si="50"/>
        <v>0</v>
      </c>
      <c r="BA11" s="4">
        <f t="shared" si="51"/>
        <v>0</v>
      </c>
      <c r="BB11" s="4">
        <f t="shared" si="52"/>
        <v>0</v>
      </c>
      <c r="BC11" s="4">
        <f t="shared" si="53"/>
        <v>0</v>
      </c>
      <c r="BD11" s="4">
        <f t="shared" si="54"/>
        <v>0</v>
      </c>
      <c r="BE11" s="4">
        <f t="shared" si="55"/>
        <v>0</v>
      </c>
      <c r="BF11" s="4">
        <f t="shared" si="56"/>
        <v>0</v>
      </c>
      <c r="BG11" s="4">
        <f t="shared" si="57"/>
        <v>0</v>
      </c>
      <c r="BH11" s="4">
        <f t="shared" si="58"/>
        <v>0</v>
      </c>
      <c r="BI11" s="4">
        <f t="shared" si="40"/>
        <v>0</v>
      </c>
      <c r="BJ11" s="4">
        <f t="shared" si="13"/>
        <v>0</v>
      </c>
      <c r="BK11" s="4">
        <f t="shared" si="14"/>
        <v>0</v>
      </c>
      <c r="BL11" s="4">
        <f t="shared" si="15"/>
        <v>0</v>
      </c>
      <c r="BM11" s="4">
        <f t="shared" si="16"/>
        <v>0</v>
      </c>
      <c r="BN11" s="4">
        <f t="shared" si="17"/>
        <v>0</v>
      </c>
      <c r="BO11" s="4">
        <f t="shared" si="18"/>
        <v>0</v>
      </c>
      <c r="BP11" s="4">
        <f t="shared" si="19"/>
        <v>0</v>
      </c>
      <c r="BQ11" s="4">
        <f t="shared" si="20"/>
        <v>0</v>
      </c>
      <c r="BR11" s="4">
        <f t="shared" si="21"/>
        <v>0</v>
      </c>
      <c r="BS11" s="4">
        <f t="shared" si="22"/>
        <v>0</v>
      </c>
      <c r="BT11" s="4">
        <f t="shared" si="23"/>
        <v>0</v>
      </c>
      <c r="BU11" s="4">
        <f t="shared" si="41"/>
        <v>0</v>
      </c>
      <c r="BV11" s="4">
        <f t="shared" si="24"/>
        <v>0</v>
      </c>
      <c r="BW11" s="4">
        <f t="shared" si="25"/>
        <v>0</v>
      </c>
      <c r="BX11" s="4">
        <f t="shared" si="26"/>
        <v>0</v>
      </c>
      <c r="BY11" s="4">
        <f t="shared" si="27"/>
        <v>0</v>
      </c>
      <c r="BZ11" s="4">
        <f t="shared" si="28"/>
        <v>0</v>
      </c>
      <c r="CA11" s="4">
        <f t="shared" si="29"/>
        <v>0</v>
      </c>
      <c r="CB11" s="4">
        <f t="shared" si="30"/>
        <v>0</v>
      </c>
      <c r="CC11" s="4">
        <f t="shared" si="31"/>
        <v>0</v>
      </c>
      <c r="CD11" s="4">
        <f t="shared" si="32"/>
        <v>0</v>
      </c>
      <c r="CE11" s="4">
        <f t="shared" si="33"/>
        <v>0</v>
      </c>
      <c r="CF11" s="4">
        <f t="shared" si="34"/>
        <v>0</v>
      </c>
    </row>
    <row r="12" spans="2:84" s="4" customFormat="1" x14ac:dyDescent="0.2">
      <c r="B12" s="2"/>
      <c r="C12" s="4" t="s">
        <v>96</v>
      </c>
      <c r="D12" s="4" t="s">
        <v>3</v>
      </c>
      <c r="E12" s="13"/>
      <c r="F12" s="45"/>
      <c r="G12" s="8">
        <f t="shared" si="35"/>
        <v>0</v>
      </c>
      <c r="H12" s="13"/>
      <c r="I12" s="45"/>
      <c r="J12" s="8">
        <f t="shared" si="43"/>
        <v>0</v>
      </c>
      <c r="K12" s="13"/>
      <c r="L12" s="45"/>
      <c r="M12" s="8">
        <f t="shared" si="0"/>
        <v>0</v>
      </c>
      <c r="N12" s="13"/>
      <c r="O12" s="45"/>
      <c r="P12" s="8">
        <f t="shared" si="1"/>
        <v>0</v>
      </c>
      <c r="Q12" s="13"/>
      <c r="R12" s="45"/>
      <c r="S12" s="8">
        <f t="shared" si="2"/>
        <v>0</v>
      </c>
      <c r="T12" s="13"/>
      <c r="U12" s="45"/>
      <c r="V12" s="8">
        <f t="shared" si="3"/>
        <v>0</v>
      </c>
      <c r="W12" s="13"/>
      <c r="X12" s="45"/>
      <c r="Y12" s="8">
        <f t="shared" si="4"/>
        <v>0</v>
      </c>
      <c r="Z12" s="13"/>
      <c r="AA12" s="45"/>
      <c r="AB12" s="8">
        <f t="shared" si="5"/>
        <v>0</v>
      </c>
      <c r="AC12" s="13"/>
      <c r="AD12" s="45"/>
      <c r="AE12" s="8">
        <f t="shared" si="6"/>
        <v>0</v>
      </c>
      <c r="AF12" s="13"/>
      <c r="AG12" s="45"/>
      <c r="AH12" s="8">
        <f t="shared" si="7"/>
        <v>0</v>
      </c>
      <c r="AI12" s="13"/>
      <c r="AJ12" s="45"/>
      <c r="AK12" s="8">
        <f t="shared" si="8"/>
        <v>0</v>
      </c>
      <c r="AL12" s="13"/>
      <c r="AM12" s="45"/>
      <c r="AN12" s="8">
        <f t="shared" si="9"/>
        <v>0</v>
      </c>
      <c r="AO12" s="98">
        <f t="shared" si="10"/>
        <v>0</v>
      </c>
      <c r="AP12" s="80">
        <f t="shared" si="11"/>
        <v>0</v>
      </c>
      <c r="AQ12" s="22">
        <f t="shared" si="44"/>
        <v>0</v>
      </c>
      <c r="AR12" s="7" t="str">
        <f t="shared" si="38"/>
        <v>ADMINISTRATION</v>
      </c>
      <c r="AT12" s="22"/>
      <c r="AU12" s="88">
        <f t="shared" si="45"/>
        <v>0</v>
      </c>
      <c r="AV12" s="22">
        <f t="shared" si="46"/>
        <v>0</v>
      </c>
      <c r="AW12" s="4">
        <f t="shared" si="47"/>
        <v>0</v>
      </c>
      <c r="AX12" s="4">
        <f t="shared" si="48"/>
        <v>0</v>
      </c>
      <c r="AY12" s="4">
        <f t="shared" si="49"/>
        <v>0</v>
      </c>
      <c r="AZ12" s="4">
        <f t="shared" si="50"/>
        <v>0</v>
      </c>
      <c r="BA12" s="4">
        <f t="shared" si="51"/>
        <v>0</v>
      </c>
      <c r="BB12" s="4">
        <f t="shared" si="52"/>
        <v>0</v>
      </c>
      <c r="BC12" s="4">
        <f t="shared" si="53"/>
        <v>0</v>
      </c>
      <c r="BD12" s="4">
        <f t="shared" si="54"/>
        <v>0</v>
      </c>
      <c r="BE12" s="4">
        <f t="shared" si="55"/>
        <v>0</v>
      </c>
      <c r="BF12" s="4">
        <f t="shared" si="56"/>
        <v>0</v>
      </c>
      <c r="BG12" s="4">
        <f t="shared" si="57"/>
        <v>0</v>
      </c>
      <c r="BH12" s="4">
        <f t="shared" si="58"/>
        <v>0</v>
      </c>
      <c r="BI12" s="4">
        <f t="shared" si="40"/>
        <v>0</v>
      </c>
      <c r="BJ12" s="4">
        <f t="shared" si="13"/>
        <v>0</v>
      </c>
      <c r="BK12" s="4">
        <f t="shared" si="14"/>
        <v>0</v>
      </c>
      <c r="BL12" s="4">
        <f t="shared" si="15"/>
        <v>0</v>
      </c>
      <c r="BM12" s="4">
        <f t="shared" si="16"/>
        <v>0</v>
      </c>
      <c r="BN12" s="4">
        <f t="shared" si="17"/>
        <v>0</v>
      </c>
      <c r="BO12" s="4">
        <f t="shared" si="18"/>
        <v>0</v>
      </c>
      <c r="BP12" s="4">
        <f t="shared" si="19"/>
        <v>0</v>
      </c>
      <c r="BQ12" s="4">
        <f t="shared" si="20"/>
        <v>0</v>
      </c>
      <c r="BR12" s="4">
        <f t="shared" si="21"/>
        <v>0</v>
      </c>
      <c r="BS12" s="4">
        <f t="shared" si="22"/>
        <v>0</v>
      </c>
      <c r="BT12" s="4">
        <f t="shared" si="23"/>
        <v>0</v>
      </c>
      <c r="BU12" s="4">
        <f t="shared" si="41"/>
        <v>0</v>
      </c>
      <c r="BV12" s="4">
        <f t="shared" si="24"/>
        <v>0</v>
      </c>
      <c r="BW12" s="4">
        <f t="shared" si="25"/>
        <v>0</v>
      </c>
      <c r="BX12" s="4">
        <f t="shared" si="26"/>
        <v>0</v>
      </c>
      <c r="BY12" s="4">
        <f t="shared" si="27"/>
        <v>0</v>
      </c>
      <c r="BZ12" s="4">
        <f t="shared" si="28"/>
        <v>0</v>
      </c>
      <c r="CA12" s="4">
        <f t="shared" si="29"/>
        <v>0</v>
      </c>
      <c r="CB12" s="4">
        <f t="shared" si="30"/>
        <v>0</v>
      </c>
      <c r="CC12" s="4">
        <f t="shared" si="31"/>
        <v>0</v>
      </c>
      <c r="CD12" s="4">
        <f t="shared" si="32"/>
        <v>0</v>
      </c>
      <c r="CE12" s="4">
        <f t="shared" si="33"/>
        <v>0</v>
      </c>
      <c r="CF12" s="4">
        <f t="shared" si="34"/>
        <v>0</v>
      </c>
    </row>
    <row r="13" spans="2:84" s="4" customFormat="1" x14ac:dyDescent="0.2">
      <c r="B13" s="2"/>
      <c r="C13" s="4" t="s">
        <v>97</v>
      </c>
      <c r="D13" s="4" t="s">
        <v>3</v>
      </c>
      <c r="E13" s="13"/>
      <c r="F13" s="45"/>
      <c r="G13" s="8">
        <f t="shared" si="35"/>
        <v>0</v>
      </c>
      <c r="H13" s="13"/>
      <c r="I13" s="45"/>
      <c r="J13" s="8">
        <f t="shared" si="43"/>
        <v>0</v>
      </c>
      <c r="K13" s="13"/>
      <c r="L13" s="14"/>
      <c r="M13" s="8">
        <f t="shared" si="0"/>
        <v>0</v>
      </c>
      <c r="N13" s="13"/>
      <c r="O13" s="45"/>
      <c r="P13" s="8">
        <f t="shared" si="1"/>
        <v>0</v>
      </c>
      <c r="Q13" s="13"/>
      <c r="R13" s="45"/>
      <c r="S13" s="8">
        <f t="shared" si="2"/>
        <v>0</v>
      </c>
      <c r="T13" s="13"/>
      <c r="U13" s="14"/>
      <c r="V13" s="8">
        <f t="shared" si="3"/>
        <v>0</v>
      </c>
      <c r="W13" s="13"/>
      <c r="X13" s="45"/>
      <c r="Y13" s="8">
        <f t="shared" si="4"/>
        <v>0</v>
      </c>
      <c r="Z13" s="13"/>
      <c r="AA13" s="45"/>
      <c r="AB13" s="8">
        <f t="shared" si="5"/>
        <v>0</v>
      </c>
      <c r="AC13" s="13"/>
      <c r="AD13" s="45"/>
      <c r="AE13" s="8">
        <f t="shared" si="6"/>
        <v>0</v>
      </c>
      <c r="AF13" s="13"/>
      <c r="AG13" s="45"/>
      <c r="AH13" s="8">
        <f t="shared" si="7"/>
        <v>0</v>
      </c>
      <c r="AI13" s="13"/>
      <c r="AJ13" s="45"/>
      <c r="AK13" s="8">
        <f t="shared" si="8"/>
        <v>0</v>
      </c>
      <c r="AL13" s="13"/>
      <c r="AM13" s="45"/>
      <c r="AN13" s="8">
        <f t="shared" si="9"/>
        <v>0</v>
      </c>
      <c r="AO13" s="98">
        <f t="shared" si="10"/>
        <v>0</v>
      </c>
      <c r="AP13" s="80">
        <f t="shared" si="11"/>
        <v>0</v>
      </c>
      <c r="AQ13" s="22">
        <f t="shared" si="44"/>
        <v>0</v>
      </c>
      <c r="AR13" s="7" t="str">
        <f t="shared" ref="AR13" si="59">C13</f>
        <v>AFSKRIVNINGER (Småanskaffelser)</v>
      </c>
      <c r="AT13" s="22"/>
      <c r="AU13" s="88">
        <f t="shared" si="45"/>
        <v>0</v>
      </c>
      <c r="AV13" s="22">
        <f t="shared" si="46"/>
        <v>0</v>
      </c>
      <c r="AW13" s="4">
        <f t="shared" si="47"/>
        <v>0</v>
      </c>
      <c r="AX13" s="4">
        <f t="shared" si="48"/>
        <v>0</v>
      </c>
      <c r="AY13" s="4">
        <f t="shared" si="49"/>
        <v>0</v>
      </c>
      <c r="AZ13" s="4">
        <f t="shared" si="50"/>
        <v>0</v>
      </c>
      <c r="BA13" s="4">
        <f t="shared" si="51"/>
        <v>0</v>
      </c>
      <c r="BB13" s="4">
        <f t="shared" si="52"/>
        <v>0</v>
      </c>
      <c r="BC13" s="4">
        <f t="shared" si="53"/>
        <v>0</v>
      </c>
      <c r="BD13" s="4">
        <f t="shared" si="54"/>
        <v>0</v>
      </c>
      <c r="BE13" s="4">
        <f t="shared" si="55"/>
        <v>0</v>
      </c>
      <c r="BF13" s="4">
        <f t="shared" si="56"/>
        <v>0</v>
      </c>
      <c r="BG13" s="4">
        <f t="shared" si="57"/>
        <v>0</v>
      </c>
      <c r="BH13" s="4">
        <f t="shared" si="58"/>
        <v>0</v>
      </c>
      <c r="BI13" s="4">
        <f t="shared" si="40"/>
        <v>0</v>
      </c>
      <c r="BJ13" s="4">
        <f t="shared" si="13"/>
        <v>0</v>
      </c>
      <c r="BK13" s="4">
        <f t="shared" si="14"/>
        <v>0</v>
      </c>
      <c r="BL13" s="4">
        <f t="shared" si="15"/>
        <v>0</v>
      </c>
      <c r="BM13" s="4">
        <f t="shared" si="16"/>
        <v>0</v>
      </c>
      <c r="BN13" s="4">
        <f t="shared" si="17"/>
        <v>0</v>
      </c>
      <c r="BO13" s="4">
        <f t="shared" si="18"/>
        <v>0</v>
      </c>
      <c r="BP13" s="4">
        <f t="shared" si="19"/>
        <v>0</v>
      </c>
      <c r="BQ13" s="4">
        <f t="shared" si="20"/>
        <v>0</v>
      </c>
      <c r="BR13" s="4">
        <f t="shared" si="21"/>
        <v>0</v>
      </c>
      <c r="BS13" s="4">
        <f t="shared" si="22"/>
        <v>0</v>
      </c>
      <c r="BT13" s="4">
        <f t="shared" si="23"/>
        <v>0</v>
      </c>
      <c r="BU13" s="4">
        <f t="shared" si="41"/>
        <v>0</v>
      </c>
      <c r="BV13" s="4">
        <f t="shared" si="24"/>
        <v>0</v>
      </c>
      <c r="BW13" s="4">
        <f t="shared" si="25"/>
        <v>0</v>
      </c>
      <c r="BX13" s="4">
        <f t="shared" si="26"/>
        <v>0</v>
      </c>
      <c r="BY13" s="4">
        <f t="shared" si="27"/>
        <v>0</v>
      </c>
      <c r="BZ13" s="4">
        <f t="shared" si="28"/>
        <v>0</v>
      </c>
      <c r="CA13" s="4">
        <f t="shared" si="29"/>
        <v>0</v>
      </c>
      <c r="CB13" s="4">
        <f t="shared" si="30"/>
        <v>0</v>
      </c>
      <c r="CC13" s="4">
        <f t="shared" si="31"/>
        <v>0</v>
      </c>
      <c r="CD13" s="4">
        <f t="shared" si="32"/>
        <v>0</v>
      </c>
      <c r="CE13" s="4">
        <f t="shared" si="33"/>
        <v>0</v>
      </c>
      <c r="CF13" s="4">
        <f t="shared" si="34"/>
        <v>0</v>
      </c>
    </row>
    <row r="14" spans="2:84" s="4" customFormat="1" x14ac:dyDescent="0.2">
      <c r="B14" s="2"/>
      <c r="C14" s="4" t="s">
        <v>98</v>
      </c>
      <c r="E14" s="13"/>
      <c r="F14" s="45"/>
      <c r="G14" s="8">
        <f t="shared" si="35"/>
        <v>0</v>
      </c>
      <c r="H14" s="13"/>
      <c r="I14" s="45"/>
      <c r="J14" s="8">
        <f t="shared" si="43"/>
        <v>0</v>
      </c>
      <c r="K14" s="13"/>
      <c r="L14" s="14"/>
      <c r="M14" s="8">
        <f t="shared" si="0"/>
        <v>0</v>
      </c>
      <c r="N14" s="13"/>
      <c r="O14" s="45"/>
      <c r="P14" s="8">
        <f t="shared" si="1"/>
        <v>0</v>
      </c>
      <c r="Q14" s="13"/>
      <c r="R14" s="45"/>
      <c r="S14" s="8">
        <f t="shared" si="2"/>
        <v>0</v>
      </c>
      <c r="T14" s="13"/>
      <c r="U14" s="14"/>
      <c r="V14" s="8">
        <f t="shared" si="3"/>
        <v>0</v>
      </c>
      <c r="W14" s="13"/>
      <c r="X14" s="45"/>
      <c r="Y14" s="8">
        <f t="shared" si="4"/>
        <v>0</v>
      </c>
      <c r="Z14" s="13"/>
      <c r="AA14" s="45"/>
      <c r="AB14" s="8">
        <f t="shared" si="5"/>
        <v>0</v>
      </c>
      <c r="AC14" s="13"/>
      <c r="AD14" s="45"/>
      <c r="AE14" s="8">
        <f t="shared" si="6"/>
        <v>0</v>
      </c>
      <c r="AF14" s="13"/>
      <c r="AG14" s="45"/>
      <c r="AH14" s="8">
        <f t="shared" si="7"/>
        <v>0</v>
      </c>
      <c r="AI14" s="13"/>
      <c r="AJ14" s="45"/>
      <c r="AK14" s="8">
        <f t="shared" si="8"/>
        <v>0</v>
      </c>
      <c r="AL14" s="13"/>
      <c r="AM14" s="45"/>
      <c r="AN14" s="8">
        <f t="shared" si="9"/>
        <v>0</v>
      </c>
      <c r="AO14" s="98">
        <f t="shared" si="10"/>
        <v>0</v>
      </c>
      <c r="AP14" s="80">
        <f t="shared" si="11"/>
        <v>0</v>
      </c>
      <c r="AQ14" s="22">
        <f t="shared" si="44"/>
        <v>0</v>
      </c>
      <c r="AR14" s="7" t="str">
        <f t="shared" ref="AR14" si="60">C14</f>
        <v>RENTEUDGIFTER</v>
      </c>
      <c r="AT14" s="22"/>
      <c r="AU14" s="88">
        <f t="shared" si="45"/>
        <v>0</v>
      </c>
      <c r="AV14" s="22">
        <f t="shared" si="46"/>
        <v>0</v>
      </c>
      <c r="AW14" s="4">
        <f t="shared" si="47"/>
        <v>0</v>
      </c>
      <c r="AX14" s="4">
        <f t="shared" si="48"/>
        <v>0</v>
      </c>
      <c r="AY14" s="4">
        <f t="shared" si="49"/>
        <v>0</v>
      </c>
      <c r="AZ14" s="4">
        <f t="shared" si="50"/>
        <v>0</v>
      </c>
      <c r="BA14" s="4">
        <f t="shared" si="51"/>
        <v>0</v>
      </c>
      <c r="BB14" s="4">
        <f t="shared" si="52"/>
        <v>0</v>
      </c>
      <c r="BC14" s="4">
        <f t="shared" si="53"/>
        <v>0</v>
      </c>
      <c r="BD14" s="4">
        <f t="shared" si="54"/>
        <v>0</v>
      </c>
      <c r="BE14" s="4">
        <f t="shared" si="55"/>
        <v>0</v>
      </c>
      <c r="BF14" s="4">
        <f t="shared" si="56"/>
        <v>0</v>
      </c>
      <c r="BG14" s="4">
        <f t="shared" si="57"/>
        <v>0</v>
      </c>
      <c r="BH14" s="4">
        <f t="shared" si="58"/>
        <v>0</v>
      </c>
      <c r="BI14" s="4">
        <f t="shared" si="40"/>
        <v>0</v>
      </c>
      <c r="BJ14" s="4">
        <f t="shared" si="13"/>
        <v>0</v>
      </c>
      <c r="BK14" s="4">
        <f t="shared" si="14"/>
        <v>0</v>
      </c>
      <c r="BL14" s="4">
        <f t="shared" si="15"/>
        <v>0</v>
      </c>
      <c r="BM14" s="4">
        <f t="shared" si="16"/>
        <v>0</v>
      </c>
      <c r="BN14" s="4">
        <f t="shared" si="17"/>
        <v>0</v>
      </c>
      <c r="BO14" s="4">
        <f t="shared" si="18"/>
        <v>0</v>
      </c>
      <c r="BP14" s="4">
        <f t="shared" si="19"/>
        <v>0</v>
      </c>
      <c r="BQ14" s="4">
        <f t="shared" si="20"/>
        <v>0</v>
      </c>
      <c r="BR14" s="4">
        <f t="shared" si="21"/>
        <v>0</v>
      </c>
      <c r="BS14" s="4">
        <f t="shared" si="22"/>
        <v>0</v>
      </c>
      <c r="BT14" s="4">
        <f t="shared" si="23"/>
        <v>0</v>
      </c>
      <c r="BU14" s="4">
        <f t="shared" si="41"/>
        <v>0</v>
      </c>
      <c r="BV14" s="4">
        <f t="shared" si="24"/>
        <v>0</v>
      </c>
      <c r="BW14" s="4">
        <f t="shared" si="25"/>
        <v>0</v>
      </c>
      <c r="BX14" s="4">
        <f t="shared" si="26"/>
        <v>0</v>
      </c>
      <c r="BY14" s="4">
        <f t="shared" si="27"/>
        <v>0</v>
      </c>
      <c r="BZ14" s="4">
        <f t="shared" si="28"/>
        <v>0</v>
      </c>
      <c r="CA14" s="4">
        <f t="shared" si="29"/>
        <v>0</v>
      </c>
      <c r="CB14" s="4">
        <f t="shared" si="30"/>
        <v>0</v>
      </c>
      <c r="CC14" s="4">
        <f t="shared" si="31"/>
        <v>0</v>
      </c>
      <c r="CD14" s="4">
        <f t="shared" si="32"/>
        <v>0</v>
      </c>
      <c r="CE14" s="4">
        <f t="shared" si="33"/>
        <v>0</v>
      </c>
      <c r="CF14" s="4">
        <f t="shared" si="34"/>
        <v>0</v>
      </c>
    </row>
    <row r="15" spans="2:84" s="5" customFormat="1" x14ac:dyDescent="0.2">
      <c r="B15" s="10"/>
      <c r="C15" s="6" t="s">
        <v>105</v>
      </c>
      <c r="D15" s="6"/>
      <c r="E15" s="11">
        <f t="shared" ref="E15:AQ15" si="61">SUM(E7:E14)</f>
        <v>0</v>
      </c>
      <c r="F15" s="6">
        <f t="shared" si="61"/>
        <v>0</v>
      </c>
      <c r="G15" s="12">
        <f t="shared" si="61"/>
        <v>0</v>
      </c>
      <c r="H15" s="11">
        <f t="shared" si="61"/>
        <v>0</v>
      </c>
      <c r="I15" s="6">
        <f t="shared" si="61"/>
        <v>0</v>
      </c>
      <c r="J15" s="12">
        <f t="shared" si="61"/>
        <v>0</v>
      </c>
      <c r="K15" s="11">
        <f t="shared" si="61"/>
        <v>0</v>
      </c>
      <c r="L15" s="6">
        <f t="shared" si="61"/>
        <v>0</v>
      </c>
      <c r="M15" s="12">
        <f t="shared" si="61"/>
        <v>0</v>
      </c>
      <c r="N15" s="11">
        <f t="shared" si="61"/>
        <v>0</v>
      </c>
      <c r="O15" s="6">
        <f t="shared" si="61"/>
        <v>0</v>
      </c>
      <c r="P15" s="12">
        <f t="shared" si="61"/>
        <v>0</v>
      </c>
      <c r="Q15" s="11">
        <f t="shared" si="61"/>
        <v>0</v>
      </c>
      <c r="R15" s="6">
        <f t="shared" si="61"/>
        <v>0</v>
      </c>
      <c r="S15" s="12">
        <f t="shared" si="61"/>
        <v>0</v>
      </c>
      <c r="T15" s="11">
        <f t="shared" si="61"/>
        <v>0</v>
      </c>
      <c r="U15" s="6">
        <f t="shared" si="61"/>
        <v>0</v>
      </c>
      <c r="V15" s="12">
        <f t="shared" si="61"/>
        <v>0</v>
      </c>
      <c r="W15" s="11">
        <f t="shared" si="61"/>
        <v>0</v>
      </c>
      <c r="X15" s="6">
        <f t="shared" si="61"/>
        <v>0</v>
      </c>
      <c r="Y15" s="12">
        <f t="shared" si="61"/>
        <v>0</v>
      </c>
      <c r="Z15" s="11">
        <f t="shared" si="61"/>
        <v>0</v>
      </c>
      <c r="AA15" s="6">
        <f t="shared" si="61"/>
        <v>0</v>
      </c>
      <c r="AB15" s="12">
        <f t="shared" si="61"/>
        <v>0</v>
      </c>
      <c r="AC15" s="11">
        <f t="shared" si="61"/>
        <v>0</v>
      </c>
      <c r="AD15" s="6">
        <f t="shared" si="61"/>
        <v>0</v>
      </c>
      <c r="AE15" s="12">
        <f t="shared" si="61"/>
        <v>0</v>
      </c>
      <c r="AF15" s="11">
        <f t="shared" si="61"/>
        <v>0</v>
      </c>
      <c r="AG15" s="6">
        <f t="shared" si="61"/>
        <v>0</v>
      </c>
      <c r="AH15" s="12">
        <f t="shared" si="61"/>
        <v>0</v>
      </c>
      <c r="AI15" s="11">
        <f t="shared" si="61"/>
        <v>0</v>
      </c>
      <c r="AJ15" s="6">
        <f t="shared" si="61"/>
        <v>0</v>
      </c>
      <c r="AK15" s="12">
        <f t="shared" si="61"/>
        <v>0</v>
      </c>
      <c r="AL15" s="11">
        <f t="shared" si="61"/>
        <v>0</v>
      </c>
      <c r="AM15" s="6">
        <f t="shared" si="61"/>
        <v>0</v>
      </c>
      <c r="AN15" s="12">
        <f t="shared" si="61"/>
        <v>0</v>
      </c>
      <c r="AO15" s="76">
        <f t="shared" si="61"/>
        <v>0</v>
      </c>
      <c r="AP15" s="78">
        <f t="shared" si="61"/>
        <v>0</v>
      </c>
      <c r="AQ15" s="11">
        <f t="shared" si="61"/>
        <v>0</v>
      </c>
      <c r="AR15" s="11" t="str">
        <f>C15</f>
        <v>RESULTAT</v>
      </c>
      <c r="AS15" s="6"/>
      <c r="AT15" s="17">
        <f t="shared" ref="AT15:BH15" si="62">SUM(AT7:AT14)</f>
        <v>0</v>
      </c>
      <c r="AU15" s="89">
        <f t="shared" si="62"/>
        <v>0</v>
      </c>
      <c r="AV15" s="17">
        <f t="shared" si="62"/>
        <v>0</v>
      </c>
      <c r="AW15" s="11">
        <f t="shared" si="62"/>
        <v>0</v>
      </c>
      <c r="AX15" s="6">
        <f t="shared" si="62"/>
        <v>0</v>
      </c>
      <c r="AY15" s="6">
        <f t="shared" si="62"/>
        <v>0</v>
      </c>
      <c r="AZ15" s="6">
        <f t="shared" si="62"/>
        <v>0</v>
      </c>
      <c r="BA15" s="6">
        <f t="shared" si="62"/>
        <v>0</v>
      </c>
      <c r="BB15" s="6">
        <f t="shared" si="62"/>
        <v>0</v>
      </c>
      <c r="BC15" s="6">
        <f t="shared" si="62"/>
        <v>0</v>
      </c>
      <c r="BD15" s="6">
        <f t="shared" si="62"/>
        <v>0</v>
      </c>
      <c r="BE15" s="6">
        <f t="shared" si="62"/>
        <v>0</v>
      </c>
      <c r="BF15" s="6">
        <f t="shared" si="62"/>
        <v>0</v>
      </c>
      <c r="BG15" s="6">
        <f t="shared" si="62"/>
        <v>0</v>
      </c>
      <c r="BH15" s="6">
        <f t="shared" si="62"/>
        <v>0</v>
      </c>
      <c r="BI15" s="6">
        <f t="shared" si="40"/>
        <v>0</v>
      </c>
      <c r="BJ15" s="6">
        <f t="shared" si="13"/>
        <v>0</v>
      </c>
      <c r="BK15" s="6">
        <f t="shared" si="14"/>
        <v>0</v>
      </c>
      <c r="BL15" s="6">
        <f t="shared" si="15"/>
        <v>0</v>
      </c>
      <c r="BM15" s="6">
        <f t="shared" si="16"/>
        <v>0</v>
      </c>
      <c r="BN15" s="6">
        <f t="shared" si="17"/>
        <v>0</v>
      </c>
      <c r="BO15" s="6">
        <f t="shared" si="18"/>
        <v>0</v>
      </c>
      <c r="BP15" s="6">
        <f t="shared" si="19"/>
        <v>0</v>
      </c>
      <c r="BQ15" s="6">
        <f t="shared" si="20"/>
        <v>0</v>
      </c>
      <c r="BR15" s="6">
        <f t="shared" si="21"/>
        <v>0</v>
      </c>
      <c r="BS15" s="6">
        <f t="shared" si="22"/>
        <v>0</v>
      </c>
      <c r="BT15" s="6">
        <f t="shared" si="23"/>
        <v>0</v>
      </c>
      <c r="BU15" s="6">
        <f t="shared" ref="BU15" si="63">F15</f>
        <v>0</v>
      </c>
      <c r="BV15" s="6">
        <f t="shared" si="24"/>
        <v>0</v>
      </c>
      <c r="BW15" s="6">
        <f t="shared" si="25"/>
        <v>0</v>
      </c>
      <c r="BX15" s="6">
        <f t="shared" si="26"/>
        <v>0</v>
      </c>
      <c r="BY15" s="6">
        <f t="shared" si="27"/>
        <v>0</v>
      </c>
      <c r="BZ15" s="6">
        <f t="shared" si="28"/>
        <v>0</v>
      </c>
      <c r="CA15" s="6">
        <f t="shared" si="29"/>
        <v>0</v>
      </c>
      <c r="CB15" s="6">
        <f t="shared" si="30"/>
        <v>0</v>
      </c>
      <c r="CC15" s="6">
        <f t="shared" si="31"/>
        <v>0</v>
      </c>
      <c r="CD15" s="6">
        <f t="shared" si="32"/>
        <v>0</v>
      </c>
      <c r="CE15" s="6">
        <f t="shared" si="33"/>
        <v>0</v>
      </c>
      <c r="CF15" s="6">
        <f t="shared" si="34"/>
        <v>0</v>
      </c>
    </row>
    <row r="16" spans="2:84" s="4" customFormat="1" hidden="1" x14ac:dyDescent="0.2">
      <c r="B16" s="5" t="s">
        <v>7</v>
      </c>
      <c r="D16" s="16"/>
      <c r="E16" s="7"/>
      <c r="G16" s="8">
        <f t="shared" ref="G16:G26" si="64">F16-E16</f>
        <v>0</v>
      </c>
      <c r="H16" s="7"/>
      <c r="J16" s="8">
        <f t="shared" ref="J16:J26" si="65">I16-H16</f>
        <v>0</v>
      </c>
      <c r="K16" s="7"/>
      <c r="M16" s="8">
        <f t="shared" ref="M16:M22" si="66">L16-K16</f>
        <v>0</v>
      </c>
      <c r="N16" s="7"/>
      <c r="P16" s="8">
        <f t="shared" ref="P16:P22" si="67">O16-N16</f>
        <v>0</v>
      </c>
      <c r="Q16" s="7"/>
      <c r="S16" s="8">
        <f t="shared" ref="S16:S22" si="68">R16-Q16</f>
        <v>0</v>
      </c>
      <c r="T16" s="7"/>
      <c r="V16" s="8">
        <f t="shared" ref="V16:V22" si="69">U16-T16</f>
        <v>0</v>
      </c>
      <c r="W16" s="7"/>
      <c r="Y16" s="8">
        <f t="shared" ref="Y16:Y26" si="70">X16-W16</f>
        <v>0</v>
      </c>
      <c r="Z16" s="7"/>
      <c r="AB16" s="8">
        <f t="shared" ref="AB16:AB26" si="71">AA16-Z16</f>
        <v>0</v>
      </c>
      <c r="AC16" s="7"/>
      <c r="AE16" s="8">
        <f t="shared" ref="AE16:AE26" si="72">AD16-AC16</f>
        <v>0</v>
      </c>
      <c r="AF16" s="7"/>
      <c r="AH16" s="8">
        <f t="shared" ref="AH16:AH26" si="73">AG16-AF16</f>
        <v>0</v>
      </c>
      <c r="AI16" s="7"/>
      <c r="AK16" s="8">
        <f t="shared" ref="AK16:AK26" si="74">AJ16-AI16</f>
        <v>0</v>
      </c>
      <c r="AL16" s="7"/>
      <c r="AN16" s="8">
        <f t="shared" ref="AN16:AN26" si="75">AM16-AL16</f>
        <v>0</v>
      </c>
      <c r="AO16" s="74">
        <f t="shared" ref="AO16:AO24" si="76">AL16+AI16+AF16+AC16+Z16+W16+T16+Q16+N16+K16+H16+E16</f>
        <v>0</v>
      </c>
      <c r="AP16" s="79"/>
      <c r="AQ16" s="22"/>
      <c r="AR16" s="7"/>
      <c r="AT16" s="22">
        <v>0</v>
      </c>
      <c r="AU16" s="88"/>
      <c r="AV16" s="22"/>
    </row>
    <row r="17" spans="1:94" s="4" customFormat="1" hidden="1" x14ac:dyDescent="0.2">
      <c r="B17" s="2"/>
      <c r="C17" s="4" t="s">
        <v>83</v>
      </c>
      <c r="D17" s="4" t="s">
        <v>3</v>
      </c>
      <c r="E17" s="36">
        <f>D33-E33</f>
        <v>0</v>
      </c>
      <c r="F17" s="4">
        <f>D33-F33</f>
        <v>0</v>
      </c>
      <c r="G17" s="8">
        <f t="shared" si="64"/>
        <v>0</v>
      </c>
      <c r="H17" s="7">
        <f>E33-H33</f>
        <v>0</v>
      </c>
      <c r="I17" s="4">
        <f>F33-I33</f>
        <v>0</v>
      </c>
      <c r="J17" s="8">
        <f t="shared" si="65"/>
        <v>0</v>
      </c>
      <c r="K17" s="7">
        <f>H33-K33</f>
        <v>0</v>
      </c>
      <c r="L17" s="4">
        <f>I33-L33</f>
        <v>0</v>
      </c>
      <c r="M17" s="8">
        <f t="shared" si="66"/>
        <v>0</v>
      </c>
      <c r="N17" s="7">
        <f>K33-N33</f>
        <v>0</v>
      </c>
      <c r="O17" s="4">
        <f>L33-O33</f>
        <v>0</v>
      </c>
      <c r="P17" s="8">
        <f t="shared" si="67"/>
        <v>0</v>
      </c>
      <c r="Q17" s="7">
        <f>N33-Q33</f>
        <v>0</v>
      </c>
      <c r="R17" s="4">
        <f>O33-R33</f>
        <v>0</v>
      </c>
      <c r="S17" s="8">
        <f t="shared" si="68"/>
        <v>0</v>
      </c>
      <c r="T17" s="7">
        <f>Q33-T33</f>
        <v>0</v>
      </c>
      <c r="U17" s="4">
        <f>R33-U33</f>
        <v>0</v>
      </c>
      <c r="V17" s="8">
        <f t="shared" si="69"/>
        <v>0</v>
      </c>
      <c r="W17" s="7">
        <f>T33-W33</f>
        <v>0</v>
      </c>
      <c r="X17" s="4">
        <f>U33-X33</f>
        <v>0</v>
      </c>
      <c r="Y17" s="8">
        <f t="shared" si="70"/>
        <v>0</v>
      </c>
      <c r="Z17" s="7">
        <f>W33-Z33</f>
        <v>0</v>
      </c>
      <c r="AA17" s="4">
        <f>X33-AA33</f>
        <v>0</v>
      </c>
      <c r="AB17" s="8">
        <f t="shared" si="71"/>
        <v>0</v>
      </c>
      <c r="AC17" s="7">
        <f>Z33-AC33</f>
        <v>0</v>
      </c>
      <c r="AD17" s="4">
        <f>AA33-AD33</f>
        <v>0</v>
      </c>
      <c r="AE17" s="8">
        <f t="shared" si="72"/>
        <v>0</v>
      </c>
      <c r="AF17" s="7">
        <f>AC33-AF33</f>
        <v>0</v>
      </c>
      <c r="AG17" s="4">
        <f>AD33-AG33</f>
        <v>0</v>
      </c>
      <c r="AH17" s="8">
        <f t="shared" si="73"/>
        <v>0</v>
      </c>
      <c r="AI17" s="7">
        <f>AF33-AI33</f>
        <v>0</v>
      </c>
      <c r="AJ17" s="4">
        <f>AG33-AJ33</f>
        <v>0</v>
      </c>
      <c r="AK17" s="8">
        <f t="shared" si="74"/>
        <v>0</v>
      </c>
      <c r="AL17" s="7">
        <f>AI33-AL33</f>
        <v>0</v>
      </c>
      <c r="AM17" s="1">
        <f>AJ33-AM33</f>
        <v>0</v>
      </c>
      <c r="AN17" s="8">
        <f t="shared" si="75"/>
        <v>0</v>
      </c>
      <c r="AO17" s="74">
        <f t="shared" ref="AO17:AO23" si="77">INDEX(BI17:BT17,1,$I$1)</f>
        <v>0</v>
      </c>
      <c r="AP17" s="77">
        <f t="shared" ref="AP17:AP23" si="78">INDEX(BU17:CF17,1,$I$1)</f>
        <v>0</v>
      </c>
      <c r="AQ17" s="22">
        <f t="shared" ref="AQ17:AQ24" si="79">AP17-AO17</f>
        <v>0</v>
      </c>
      <c r="AR17" s="7" t="str">
        <f t="shared" ref="AR17:AR24" si="80">C17</f>
        <v>Ændring anlægsaktiver</v>
      </c>
      <c r="AT17" s="22">
        <v>-76660</v>
      </c>
      <c r="AU17" s="88">
        <f t="shared" ref="AU17:AU24" si="81">INDEX(AW17:BH17,1,$I$1)</f>
        <v>0</v>
      </c>
      <c r="AV17" s="22">
        <f t="shared" ref="AV17:AV24" si="82">AU17-AT17</f>
        <v>76660</v>
      </c>
      <c r="AW17" s="4">
        <f t="shared" ref="AW17:AW25" si="83">AL17+AI17+AF17+AC17+Z17+W17+T17+Q17+N17+K17+H17+F17</f>
        <v>0</v>
      </c>
      <c r="AX17" s="4">
        <f t="shared" ref="AX17:AX25" si="84">AL17+AI17+AF17+AC17+Z17+W17+T17+Q17+N17+K17+I17+F17</f>
        <v>0</v>
      </c>
      <c r="AY17" s="4">
        <f t="shared" ref="AY17:AY25" si="85">AL17+AI17+AF17+AC17+Z17+W17+T17+Q17+N17+L17+I17+F17</f>
        <v>0</v>
      </c>
      <c r="AZ17" s="4">
        <f t="shared" ref="AZ17:AZ25" si="86">AL17+AI17+AF17+AC17+Z17+W17+T17+Q17+O17+L17+I17+F17</f>
        <v>0</v>
      </c>
      <c r="BA17" s="4">
        <f t="shared" ref="BA17:BA25" si="87">AL17+AI17+AF17+AC17+Z17+W17+T17+R17+O17+L17+I17+F17</f>
        <v>0</v>
      </c>
      <c r="BB17" s="4">
        <f t="shared" ref="BB17:BB25" si="88">AL17+AI17+AF17+AC17+Z17+W17+U17+R17+O17+L17+I17+F17</f>
        <v>0</v>
      </c>
      <c r="BC17" s="4">
        <f t="shared" ref="BC17:BC25" si="89">AL17+AI17+AF17+AC17+Z17+X17+U17+R17+O17+L17+I17+F17</f>
        <v>0</v>
      </c>
      <c r="BD17" s="4">
        <f t="shared" ref="BD17:BD25" si="90">AL17+AI17+AF17+AC17+AA17+X17+U17+R17+O17+L17+I17+F17</f>
        <v>0</v>
      </c>
      <c r="BE17" s="4">
        <f t="shared" ref="BE17:BE25" si="91">AL17+AI17+AF17+AD17+AA17+X17+U17+R17+O17+L17+I17+F17</f>
        <v>0</v>
      </c>
      <c r="BF17" s="4">
        <f t="shared" ref="BF17:BF25" si="92">AL17+AI17+AG17+AD17+AA17+X17+U17+R17+O17+L17+I17+F17</f>
        <v>0</v>
      </c>
      <c r="BG17" s="4">
        <f t="shared" ref="BG17:BG25" si="93">AL17+AJ17+AG17+AD17+AA17+X17+U17+R17+O17+L17+I17+F17</f>
        <v>0</v>
      </c>
      <c r="BH17" s="4">
        <f t="shared" ref="BH17:BH25" si="94">AM17+AJ17+AG17+AD17+AA17+X17+U17+R17+O17+L17+I17+F17</f>
        <v>0</v>
      </c>
      <c r="BI17" s="4">
        <f t="shared" ref="BI17" si="95">E17</f>
        <v>0</v>
      </c>
      <c r="BJ17" s="4">
        <f t="shared" ref="BJ17:BJ23" si="96">BI17+H17</f>
        <v>0</v>
      </c>
      <c r="BK17" s="4">
        <f t="shared" ref="BK17:BK23" si="97">BJ17+K17</f>
        <v>0</v>
      </c>
      <c r="BL17" s="4">
        <f t="shared" ref="BL17:BL23" si="98">BK17+N17</f>
        <v>0</v>
      </c>
      <c r="BM17" s="4">
        <f t="shared" ref="BM17:BM23" si="99">BL17+Q17</f>
        <v>0</v>
      </c>
      <c r="BN17" s="4">
        <f t="shared" ref="BN17:BN23" si="100">BM17+T17</f>
        <v>0</v>
      </c>
      <c r="BO17" s="4">
        <f t="shared" ref="BO17:BO23" si="101">BN17+W17</f>
        <v>0</v>
      </c>
      <c r="BP17" s="4">
        <f t="shared" ref="BP17:BP23" si="102">BO17+Z17</f>
        <v>0</v>
      </c>
      <c r="BQ17" s="4">
        <f t="shared" ref="BQ17:BQ23" si="103">BP17+AC17</f>
        <v>0</v>
      </c>
      <c r="BR17" s="4">
        <f t="shared" ref="BR17:BR23" si="104">+BQ17+AF17</f>
        <v>0</v>
      </c>
      <c r="BS17" s="4">
        <f t="shared" ref="BS17:BS23" si="105">+BR17+AI17</f>
        <v>0</v>
      </c>
      <c r="BT17" s="4">
        <f t="shared" ref="BT17:BT23" si="106">BS17+AL17</f>
        <v>0</v>
      </c>
      <c r="BU17" s="4">
        <f t="shared" ref="BU17:BU23" si="107">F17</f>
        <v>0</v>
      </c>
      <c r="BV17" s="4">
        <f t="shared" ref="BV17:BV23" si="108">BU17+I17</f>
        <v>0</v>
      </c>
      <c r="BW17" s="4">
        <f t="shared" ref="BW17:BW23" si="109">BV17+L17</f>
        <v>0</v>
      </c>
      <c r="BX17" s="4">
        <f t="shared" ref="BX17:BX23" si="110">BW17+O17</f>
        <v>0</v>
      </c>
      <c r="BY17" s="4">
        <f t="shared" ref="BY17:BY23" si="111">BX17+R17</f>
        <v>0</v>
      </c>
      <c r="BZ17" s="4">
        <f t="shared" ref="BZ17:BZ23" si="112">BY17+U17</f>
        <v>0</v>
      </c>
      <c r="CA17" s="4">
        <f t="shared" ref="CA17:CA23" si="113">BZ17+X17</f>
        <v>0</v>
      </c>
      <c r="CB17" s="4">
        <f t="shared" ref="CB17:CB23" si="114">CA17+AA17</f>
        <v>0</v>
      </c>
      <c r="CC17" s="4">
        <f t="shared" ref="CC17:CC23" si="115">CB17+AD17</f>
        <v>0</v>
      </c>
      <c r="CD17" s="4">
        <f t="shared" ref="CD17:CD23" si="116">+CC17+AG17</f>
        <v>0</v>
      </c>
      <c r="CE17" s="4">
        <f t="shared" ref="CE17:CE23" si="117">+CD17+AJ17</f>
        <v>0</v>
      </c>
      <c r="CF17" s="4">
        <f t="shared" ref="CF17:CF23" si="118">CE17+AM17</f>
        <v>0</v>
      </c>
    </row>
    <row r="18" spans="1:94" s="4" customFormat="1" hidden="1" x14ac:dyDescent="0.2">
      <c r="B18" s="2"/>
      <c r="C18" s="4" t="s">
        <v>84</v>
      </c>
      <c r="E18" s="36">
        <f>D34-E34</f>
        <v>0</v>
      </c>
      <c r="F18" s="4">
        <f>D34-F34</f>
        <v>0</v>
      </c>
      <c r="G18" s="8">
        <f t="shared" ref="G18:G19" si="119">F18-E18</f>
        <v>0</v>
      </c>
      <c r="H18" s="7">
        <f>E34-H34</f>
        <v>0</v>
      </c>
      <c r="I18" s="4">
        <f>F34-I34</f>
        <v>0</v>
      </c>
      <c r="J18" s="8">
        <f t="shared" si="65"/>
        <v>0</v>
      </c>
      <c r="K18" s="7">
        <f>H34-K34</f>
        <v>0</v>
      </c>
      <c r="L18" s="4">
        <f>I34-L34</f>
        <v>0</v>
      </c>
      <c r="M18" s="8">
        <f t="shared" si="66"/>
        <v>0</v>
      </c>
      <c r="N18" s="7">
        <f>K34-N34</f>
        <v>0</v>
      </c>
      <c r="O18" s="4">
        <f>L34-O34</f>
        <v>0</v>
      </c>
      <c r="P18" s="8">
        <f t="shared" si="67"/>
        <v>0</v>
      </c>
      <c r="Q18" s="7">
        <f>N34-Q34</f>
        <v>0</v>
      </c>
      <c r="R18" s="4">
        <f>O34-R34</f>
        <v>0</v>
      </c>
      <c r="S18" s="8">
        <f t="shared" si="68"/>
        <v>0</v>
      </c>
      <c r="T18" s="7">
        <f>Q34-T34</f>
        <v>0</v>
      </c>
      <c r="U18" s="4">
        <f>R34-U34</f>
        <v>0</v>
      </c>
      <c r="V18" s="8">
        <f t="shared" si="69"/>
        <v>0</v>
      </c>
      <c r="W18" s="7">
        <f>T34-W34</f>
        <v>0</v>
      </c>
      <c r="X18" s="4">
        <f>U34-X34</f>
        <v>0</v>
      </c>
      <c r="Y18" s="8">
        <f t="shared" si="70"/>
        <v>0</v>
      </c>
      <c r="Z18" s="7">
        <f>W34-Z34</f>
        <v>0</v>
      </c>
      <c r="AA18" s="4">
        <f>X34-AA34</f>
        <v>0</v>
      </c>
      <c r="AB18" s="8">
        <f t="shared" si="71"/>
        <v>0</v>
      </c>
      <c r="AC18" s="7">
        <f>Z34-AC34</f>
        <v>0</v>
      </c>
      <c r="AD18" s="4">
        <f>AA34-AD34</f>
        <v>0</v>
      </c>
      <c r="AE18" s="8">
        <f t="shared" si="72"/>
        <v>0</v>
      </c>
      <c r="AF18" s="7">
        <f>AC34-AF34</f>
        <v>0</v>
      </c>
      <c r="AG18" s="4">
        <f>AD34-AG34</f>
        <v>0</v>
      </c>
      <c r="AH18" s="8">
        <f t="shared" si="73"/>
        <v>0</v>
      </c>
      <c r="AI18" s="7">
        <f>AF34-AI34</f>
        <v>0</v>
      </c>
      <c r="AJ18" s="4">
        <f>AG34-AJ34</f>
        <v>0</v>
      </c>
      <c r="AK18" s="8">
        <f t="shared" si="74"/>
        <v>0</v>
      </c>
      <c r="AL18" s="7">
        <f>AI34-AL34</f>
        <v>0</v>
      </c>
      <c r="AM18" s="1">
        <f>AJ34-AM34</f>
        <v>0</v>
      </c>
      <c r="AN18" s="8">
        <f t="shared" si="75"/>
        <v>0</v>
      </c>
      <c r="AO18" s="73">
        <f t="shared" si="77"/>
        <v>0</v>
      </c>
      <c r="AP18" s="80">
        <f t="shared" si="78"/>
        <v>0</v>
      </c>
      <c r="AQ18" s="22">
        <f>AP18-AO18</f>
        <v>0</v>
      </c>
      <c r="AR18" s="7" t="str">
        <f t="shared" ref="AR18" si="120">C18</f>
        <v>Ændring tilgodehavender</v>
      </c>
      <c r="AT18" s="22">
        <v>-25548</v>
      </c>
      <c r="AU18" s="88">
        <f t="shared" si="81"/>
        <v>0</v>
      </c>
      <c r="AV18" s="22">
        <f>AU18-AT18</f>
        <v>25548</v>
      </c>
      <c r="AW18" s="4">
        <f t="shared" si="83"/>
        <v>0</v>
      </c>
      <c r="AX18" s="4">
        <f t="shared" si="84"/>
        <v>0</v>
      </c>
      <c r="AY18" s="4">
        <f t="shared" si="85"/>
        <v>0</v>
      </c>
      <c r="AZ18" s="4">
        <f t="shared" si="86"/>
        <v>0</v>
      </c>
      <c r="BA18" s="4">
        <f t="shared" si="87"/>
        <v>0</v>
      </c>
      <c r="BB18" s="4">
        <f t="shared" si="88"/>
        <v>0</v>
      </c>
      <c r="BC18" s="4">
        <f t="shared" si="89"/>
        <v>0</v>
      </c>
      <c r="BD18" s="4">
        <f t="shared" si="90"/>
        <v>0</v>
      </c>
      <c r="BE18" s="4">
        <f t="shared" si="91"/>
        <v>0</v>
      </c>
      <c r="BF18" s="4">
        <f t="shared" si="92"/>
        <v>0</v>
      </c>
      <c r="BG18" s="4">
        <f t="shared" si="93"/>
        <v>0</v>
      </c>
      <c r="BH18" s="4">
        <f t="shared" si="94"/>
        <v>0</v>
      </c>
      <c r="BI18" s="4">
        <f t="shared" ref="BI18:BI23" si="121">E18</f>
        <v>0</v>
      </c>
      <c r="BJ18" s="4">
        <f t="shared" si="96"/>
        <v>0</v>
      </c>
      <c r="BK18" s="4">
        <f t="shared" si="97"/>
        <v>0</v>
      </c>
      <c r="BL18" s="4">
        <f t="shared" si="98"/>
        <v>0</v>
      </c>
      <c r="BM18" s="4">
        <f t="shared" si="99"/>
        <v>0</v>
      </c>
      <c r="BN18" s="4">
        <f t="shared" si="100"/>
        <v>0</v>
      </c>
      <c r="BO18" s="4">
        <f t="shared" si="101"/>
        <v>0</v>
      </c>
      <c r="BP18" s="4">
        <f t="shared" si="102"/>
        <v>0</v>
      </c>
      <c r="BQ18" s="4">
        <f t="shared" si="103"/>
        <v>0</v>
      </c>
      <c r="BR18" s="4">
        <f t="shared" si="104"/>
        <v>0</v>
      </c>
      <c r="BS18" s="4">
        <f t="shared" si="105"/>
        <v>0</v>
      </c>
      <c r="BT18" s="4">
        <f t="shared" si="106"/>
        <v>0</v>
      </c>
      <c r="BU18" s="4">
        <f t="shared" si="107"/>
        <v>0</v>
      </c>
      <c r="BV18" s="4">
        <f t="shared" si="108"/>
        <v>0</v>
      </c>
      <c r="BW18" s="4">
        <f t="shared" si="109"/>
        <v>0</v>
      </c>
      <c r="BX18" s="4">
        <f t="shared" si="110"/>
        <v>0</v>
      </c>
      <c r="BY18" s="4">
        <f t="shared" si="111"/>
        <v>0</v>
      </c>
      <c r="BZ18" s="4">
        <f t="shared" si="112"/>
        <v>0</v>
      </c>
      <c r="CA18" s="4">
        <f t="shared" si="113"/>
        <v>0</v>
      </c>
      <c r="CB18" s="4">
        <f t="shared" si="114"/>
        <v>0</v>
      </c>
      <c r="CC18" s="4">
        <f t="shared" si="115"/>
        <v>0</v>
      </c>
      <c r="CD18" s="4">
        <f t="shared" si="116"/>
        <v>0</v>
      </c>
      <c r="CE18" s="4">
        <f t="shared" si="117"/>
        <v>0</v>
      </c>
      <c r="CF18" s="4">
        <f t="shared" si="118"/>
        <v>0</v>
      </c>
    </row>
    <row r="19" spans="1:94" s="4" customFormat="1" hidden="1" x14ac:dyDescent="0.2">
      <c r="B19" s="2"/>
      <c r="C19" s="4" t="s">
        <v>104</v>
      </c>
      <c r="E19" s="36">
        <f>D38-E38</f>
        <v>0</v>
      </c>
      <c r="F19" s="4">
        <f>D38-F38</f>
        <v>0</v>
      </c>
      <c r="G19" s="8">
        <f t="shared" si="119"/>
        <v>0</v>
      </c>
      <c r="H19" s="7">
        <f t="shared" ref="H19:I22" si="122">E38-H38</f>
        <v>0</v>
      </c>
      <c r="I19" s="4">
        <f t="shared" si="122"/>
        <v>0</v>
      </c>
      <c r="J19" s="8">
        <f t="shared" si="65"/>
        <v>0</v>
      </c>
      <c r="K19" s="7">
        <f t="shared" ref="K19:L22" si="123">H38-K38</f>
        <v>0</v>
      </c>
      <c r="L19" s="4">
        <f t="shared" si="123"/>
        <v>0</v>
      </c>
      <c r="M19" s="8"/>
      <c r="N19" s="7">
        <f t="shared" ref="N19:O22" si="124">K38-N38</f>
        <v>0</v>
      </c>
      <c r="O19" s="4">
        <f t="shared" si="124"/>
        <v>0</v>
      </c>
      <c r="P19" s="8"/>
      <c r="Q19" s="7">
        <f t="shared" ref="Q19:R22" si="125">N38-Q38</f>
        <v>0</v>
      </c>
      <c r="R19" s="4">
        <f t="shared" si="125"/>
        <v>0</v>
      </c>
      <c r="S19" s="8"/>
      <c r="T19" s="7">
        <f t="shared" ref="T19:U22" si="126">Q38-T38</f>
        <v>0</v>
      </c>
      <c r="U19" s="4">
        <f t="shared" si="126"/>
        <v>0</v>
      </c>
      <c r="V19" s="8"/>
      <c r="W19" s="7">
        <f t="shared" ref="W19:X22" si="127">T38-W38</f>
        <v>0</v>
      </c>
      <c r="X19" s="4">
        <f t="shared" si="127"/>
        <v>0</v>
      </c>
      <c r="Y19" s="8">
        <f t="shared" si="70"/>
        <v>0</v>
      </c>
      <c r="Z19" s="7">
        <f t="shared" ref="Z19:AA22" si="128">W38-Z38</f>
        <v>0</v>
      </c>
      <c r="AA19" s="4">
        <f t="shared" si="128"/>
        <v>0</v>
      </c>
      <c r="AB19" s="8">
        <f t="shared" si="71"/>
        <v>0</v>
      </c>
      <c r="AC19" s="7">
        <f t="shared" ref="AC19:AD22" si="129">Z38-AC38</f>
        <v>0</v>
      </c>
      <c r="AD19" s="4">
        <f t="shared" si="129"/>
        <v>0</v>
      </c>
      <c r="AE19" s="8">
        <f t="shared" si="72"/>
        <v>0</v>
      </c>
      <c r="AF19" s="7">
        <f t="shared" ref="AF19:AG22" si="130">AC38-AF38</f>
        <v>0</v>
      </c>
      <c r="AG19" s="4">
        <f t="shared" si="130"/>
        <v>0</v>
      </c>
      <c r="AH19" s="8">
        <f t="shared" si="73"/>
        <v>0</v>
      </c>
      <c r="AI19" s="7">
        <f t="shared" ref="AI19:AJ22" si="131">AF38-AI38</f>
        <v>0</v>
      </c>
      <c r="AJ19" s="4">
        <f t="shared" si="131"/>
        <v>0</v>
      </c>
      <c r="AK19" s="8">
        <f t="shared" si="74"/>
        <v>0</v>
      </c>
      <c r="AL19" s="7">
        <f t="shared" ref="AL19:AM22" si="132">AI38-AL38</f>
        <v>0</v>
      </c>
      <c r="AM19" s="1">
        <f t="shared" si="132"/>
        <v>0</v>
      </c>
      <c r="AN19" s="8">
        <f t="shared" si="75"/>
        <v>0</v>
      </c>
      <c r="AO19" s="73">
        <f t="shared" si="77"/>
        <v>0</v>
      </c>
      <c r="AP19" s="80">
        <f t="shared" si="78"/>
        <v>0</v>
      </c>
      <c r="AQ19" s="22">
        <f t="shared" si="79"/>
        <v>0</v>
      </c>
      <c r="AR19" s="7" t="str">
        <f t="shared" ref="AR19" si="133">C19</f>
        <v>Hævet til privat, bil og skat</v>
      </c>
      <c r="AT19" s="22">
        <v>-138695</v>
      </c>
      <c r="AU19" s="88">
        <f t="shared" si="81"/>
        <v>0</v>
      </c>
      <c r="AV19" s="22">
        <f t="shared" si="82"/>
        <v>138695</v>
      </c>
      <c r="AW19" s="4">
        <f t="shared" si="83"/>
        <v>0</v>
      </c>
      <c r="AX19" s="4">
        <f t="shared" si="84"/>
        <v>0</v>
      </c>
      <c r="AY19" s="4">
        <f t="shared" si="85"/>
        <v>0</v>
      </c>
      <c r="AZ19" s="4">
        <f t="shared" si="86"/>
        <v>0</v>
      </c>
      <c r="BA19" s="4">
        <f t="shared" si="87"/>
        <v>0</v>
      </c>
      <c r="BB19" s="4">
        <f t="shared" si="88"/>
        <v>0</v>
      </c>
      <c r="BC19" s="4">
        <f t="shared" si="89"/>
        <v>0</v>
      </c>
      <c r="BD19" s="4">
        <f t="shared" si="90"/>
        <v>0</v>
      </c>
      <c r="BE19" s="4">
        <f t="shared" si="91"/>
        <v>0</v>
      </c>
      <c r="BF19" s="4">
        <f t="shared" si="92"/>
        <v>0</v>
      </c>
      <c r="BG19" s="4">
        <f t="shared" si="93"/>
        <v>0</v>
      </c>
      <c r="BH19" s="4">
        <f t="shared" si="94"/>
        <v>0</v>
      </c>
      <c r="BI19" s="4">
        <f t="shared" si="121"/>
        <v>0</v>
      </c>
      <c r="BJ19" s="4">
        <f t="shared" si="96"/>
        <v>0</v>
      </c>
      <c r="BK19" s="4">
        <f t="shared" si="97"/>
        <v>0</v>
      </c>
      <c r="BL19" s="4">
        <f t="shared" si="98"/>
        <v>0</v>
      </c>
      <c r="BM19" s="4">
        <f t="shared" si="99"/>
        <v>0</v>
      </c>
      <c r="BN19" s="4">
        <f t="shared" si="100"/>
        <v>0</v>
      </c>
      <c r="BO19" s="4">
        <f t="shared" si="101"/>
        <v>0</v>
      </c>
      <c r="BP19" s="4">
        <f t="shared" si="102"/>
        <v>0</v>
      </c>
      <c r="BQ19" s="4">
        <f t="shared" si="103"/>
        <v>0</v>
      </c>
      <c r="BR19" s="4">
        <f t="shared" si="104"/>
        <v>0</v>
      </c>
      <c r="BS19" s="4">
        <f t="shared" si="105"/>
        <v>0</v>
      </c>
      <c r="BT19" s="4">
        <f t="shared" si="106"/>
        <v>0</v>
      </c>
      <c r="BU19" s="4">
        <f t="shared" si="107"/>
        <v>0</v>
      </c>
      <c r="BV19" s="4">
        <f t="shared" si="108"/>
        <v>0</v>
      </c>
      <c r="BW19" s="4">
        <f t="shared" si="109"/>
        <v>0</v>
      </c>
      <c r="BX19" s="4">
        <f t="shared" si="110"/>
        <v>0</v>
      </c>
      <c r="BY19" s="4">
        <f t="shared" si="111"/>
        <v>0</v>
      </c>
      <c r="BZ19" s="4">
        <f t="shared" si="112"/>
        <v>0</v>
      </c>
      <c r="CA19" s="4">
        <f t="shared" si="113"/>
        <v>0</v>
      </c>
      <c r="CB19" s="4">
        <f t="shared" si="114"/>
        <v>0</v>
      </c>
      <c r="CC19" s="4">
        <f t="shared" si="115"/>
        <v>0</v>
      </c>
      <c r="CD19" s="4">
        <f t="shared" si="116"/>
        <v>0</v>
      </c>
      <c r="CE19" s="4">
        <f t="shared" si="117"/>
        <v>0</v>
      </c>
      <c r="CF19" s="4">
        <f t="shared" si="118"/>
        <v>0</v>
      </c>
    </row>
    <row r="20" spans="1:94" s="4" customFormat="1" hidden="1" x14ac:dyDescent="0.2">
      <c r="B20" s="2"/>
      <c r="C20" s="4" t="s">
        <v>85</v>
      </c>
      <c r="E20" s="36">
        <f>D39-E39</f>
        <v>0</v>
      </c>
      <c r="F20" s="4">
        <f>D39-F39</f>
        <v>0</v>
      </c>
      <c r="G20" s="8">
        <f t="shared" si="64"/>
        <v>0</v>
      </c>
      <c r="H20" s="7">
        <f t="shared" si="122"/>
        <v>0</v>
      </c>
      <c r="I20" s="4">
        <f t="shared" si="122"/>
        <v>0</v>
      </c>
      <c r="J20" s="8">
        <f t="shared" si="65"/>
        <v>0</v>
      </c>
      <c r="K20" s="7">
        <f t="shared" si="123"/>
        <v>0</v>
      </c>
      <c r="L20" s="4">
        <f t="shared" si="123"/>
        <v>0</v>
      </c>
      <c r="M20" s="8">
        <f t="shared" ref="M20" si="134">L20-K20</f>
        <v>0</v>
      </c>
      <c r="N20" s="7">
        <f t="shared" si="124"/>
        <v>0</v>
      </c>
      <c r="O20" s="4">
        <f t="shared" si="124"/>
        <v>0</v>
      </c>
      <c r="P20" s="8">
        <f t="shared" ref="P20" si="135">O20-N20</f>
        <v>0</v>
      </c>
      <c r="Q20" s="7">
        <f t="shared" si="125"/>
        <v>0</v>
      </c>
      <c r="R20" s="4">
        <f t="shared" si="125"/>
        <v>0</v>
      </c>
      <c r="S20" s="8">
        <f t="shared" ref="S20" si="136">R20-Q20</f>
        <v>0</v>
      </c>
      <c r="T20" s="7">
        <f t="shared" si="126"/>
        <v>0</v>
      </c>
      <c r="U20" s="4">
        <f t="shared" si="126"/>
        <v>0</v>
      </c>
      <c r="V20" s="8">
        <f t="shared" ref="V20" si="137">U20-T20</f>
        <v>0</v>
      </c>
      <c r="W20" s="7">
        <f t="shared" si="127"/>
        <v>0</v>
      </c>
      <c r="X20" s="4">
        <f t="shared" si="127"/>
        <v>0</v>
      </c>
      <c r="Y20" s="8">
        <f t="shared" si="70"/>
        <v>0</v>
      </c>
      <c r="Z20" s="7">
        <f t="shared" si="128"/>
        <v>0</v>
      </c>
      <c r="AA20" s="4">
        <f t="shared" si="128"/>
        <v>0</v>
      </c>
      <c r="AB20" s="8">
        <f t="shared" si="71"/>
        <v>0</v>
      </c>
      <c r="AC20" s="7">
        <f t="shared" si="129"/>
        <v>0</v>
      </c>
      <c r="AD20" s="4">
        <f t="shared" si="129"/>
        <v>0</v>
      </c>
      <c r="AE20" s="8">
        <f t="shared" si="72"/>
        <v>0</v>
      </c>
      <c r="AF20" s="7">
        <f t="shared" si="130"/>
        <v>0</v>
      </c>
      <c r="AG20" s="4">
        <f t="shared" si="130"/>
        <v>0</v>
      </c>
      <c r="AH20" s="8">
        <f t="shared" si="73"/>
        <v>0</v>
      </c>
      <c r="AI20" s="7">
        <f t="shared" si="131"/>
        <v>0</v>
      </c>
      <c r="AJ20" s="4">
        <f t="shared" si="131"/>
        <v>0</v>
      </c>
      <c r="AK20" s="8">
        <f t="shared" si="74"/>
        <v>0</v>
      </c>
      <c r="AL20" s="7">
        <f t="shared" si="132"/>
        <v>0</v>
      </c>
      <c r="AM20" s="1">
        <f t="shared" si="132"/>
        <v>0</v>
      </c>
      <c r="AN20" s="8">
        <f t="shared" si="75"/>
        <v>0</v>
      </c>
      <c r="AO20" s="73">
        <f t="shared" si="77"/>
        <v>0</v>
      </c>
      <c r="AP20" s="80">
        <f t="shared" si="78"/>
        <v>0</v>
      </c>
      <c r="AQ20" s="22">
        <f t="shared" si="79"/>
        <v>0</v>
      </c>
      <c r="AR20" s="7" t="str">
        <f t="shared" ref="AR20" si="138">C20</f>
        <v>Ændring langfristet gæld</v>
      </c>
      <c r="AT20" s="22">
        <v>302155</v>
      </c>
      <c r="AU20" s="88">
        <f t="shared" si="81"/>
        <v>0</v>
      </c>
      <c r="AV20" s="22">
        <f t="shared" si="82"/>
        <v>-302155</v>
      </c>
      <c r="AW20" s="4">
        <f t="shared" si="83"/>
        <v>0</v>
      </c>
      <c r="AX20" s="4">
        <f t="shared" si="84"/>
        <v>0</v>
      </c>
      <c r="AY20" s="4">
        <f t="shared" si="85"/>
        <v>0</v>
      </c>
      <c r="AZ20" s="4">
        <f t="shared" si="86"/>
        <v>0</v>
      </c>
      <c r="BA20" s="4">
        <f t="shared" si="87"/>
        <v>0</v>
      </c>
      <c r="BB20" s="4">
        <f t="shared" si="88"/>
        <v>0</v>
      </c>
      <c r="BC20" s="4">
        <f t="shared" si="89"/>
        <v>0</v>
      </c>
      <c r="BD20" s="4">
        <f t="shared" si="90"/>
        <v>0</v>
      </c>
      <c r="BE20" s="4">
        <f t="shared" si="91"/>
        <v>0</v>
      </c>
      <c r="BF20" s="4">
        <f t="shared" si="92"/>
        <v>0</v>
      </c>
      <c r="BG20" s="4">
        <f t="shared" si="93"/>
        <v>0</v>
      </c>
      <c r="BH20" s="4">
        <f t="shared" si="94"/>
        <v>0</v>
      </c>
      <c r="BI20" s="4">
        <f t="shared" si="121"/>
        <v>0</v>
      </c>
      <c r="BJ20" s="4">
        <f t="shared" si="96"/>
        <v>0</v>
      </c>
      <c r="BK20" s="4">
        <f t="shared" si="97"/>
        <v>0</v>
      </c>
      <c r="BL20" s="4">
        <f t="shared" si="98"/>
        <v>0</v>
      </c>
      <c r="BM20" s="4">
        <f t="shared" si="99"/>
        <v>0</v>
      </c>
      <c r="BN20" s="4">
        <f t="shared" si="100"/>
        <v>0</v>
      </c>
      <c r="BO20" s="4">
        <f t="shared" si="101"/>
        <v>0</v>
      </c>
      <c r="BP20" s="4">
        <f t="shared" si="102"/>
        <v>0</v>
      </c>
      <c r="BQ20" s="4">
        <f t="shared" si="103"/>
        <v>0</v>
      </c>
      <c r="BR20" s="4">
        <f t="shared" si="104"/>
        <v>0</v>
      </c>
      <c r="BS20" s="4">
        <f t="shared" si="105"/>
        <v>0</v>
      </c>
      <c r="BT20" s="4">
        <f t="shared" si="106"/>
        <v>0</v>
      </c>
      <c r="BU20" s="4">
        <f t="shared" si="107"/>
        <v>0</v>
      </c>
      <c r="BV20" s="4">
        <f t="shared" si="108"/>
        <v>0</v>
      </c>
      <c r="BW20" s="4">
        <f t="shared" si="109"/>
        <v>0</v>
      </c>
      <c r="BX20" s="4">
        <f t="shared" si="110"/>
        <v>0</v>
      </c>
      <c r="BY20" s="4">
        <f t="shared" si="111"/>
        <v>0</v>
      </c>
      <c r="BZ20" s="4">
        <f t="shared" si="112"/>
        <v>0</v>
      </c>
      <c r="CA20" s="4">
        <f t="shared" si="113"/>
        <v>0</v>
      </c>
      <c r="CB20" s="4">
        <f t="shared" si="114"/>
        <v>0</v>
      </c>
      <c r="CC20" s="4">
        <f t="shared" si="115"/>
        <v>0</v>
      </c>
      <c r="CD20" s="4">
        <f t="shared" si="116"/>
        <v>0</v>
      </c>
      <c r="CE20" s="4">
        <f t="shared" si="117"/>
        <v>0</v>
      </c>
      <c r="CF20" s="4">
        <f t="shared" si="118"/>
        <v>0</v>
      </c>
    </row>
    <row r="21" spans="1:94" s="4" customFormat="1" hidden="1" x14ac:dyDescent="0.2">
      <c r="B21" s="2"/>
      <c r="C21" s="4" t="s">
        <v>86</v>
      </c>
      <c r="E21" s="36">
        <f>D40-E40</f>
        <v>0</v>
      </c>
      <c r="F21" s="4">
        <f>D40-F40</f>
        <v>0</v>
      </c>
      <c r="G21" s="8">
        <f t="shared" si="64"/>
        <v>0</v>
      </c>
      <c r="H21" s="7">
        <f t="shared" si="122"/>
        <v>0</v>
      </c>
      <c r="I21" s="4">
        <f t="shared" si="122"/>
        <v>0</v>
      </c>
      <c r="J21" s="8">
        <f t="shared" si="65"/>
        <v>0</v>
      </c>
      <c r="K21" s="7">
        <f t="shared" si="123"/>
        <v>0</v>
      </c>
      <c r="L21" s="4">
        <f t="shared" si="123"/>
        <v>0</v>
      </c>
      <c r="M21" s="8">
        <f t="shared" si="66"/>
        <v>0</v>
      </c>
      <c r="N21" s="7">
        <f t="shared" si="124"/>
        <v>0</v>
      </c>
      <c r="O21" s="4">
        <f t="shared" si="124"/>
        <v>0</v>
      </c>
      <c r="P21" s="8">
        <f t="shared" si="67"/>
        <v>0</v>
      </c>
      <c r="Q21" s="7">
        <f t="shared" si="125"/>
        <v>0</v>
      </c>
      <c r="R21" s="4">
        <f t="shared" si="125"/>
        <v>0</v>
      </c>
      <c r="S21" s="8">
        <f t="shared" si="68"/>
        <v>0</v>
      </c>
      <c r="T21" s="7">
        <f t="shared" si="126"/>
        <v>0</v>
      </c>
      <c r="U21" s="4">
        <f t="shared" si="126"/>
        <v>0</v>
      </c>
      <c r="V21" s="8">
        <f t="shared" si="69"/>
        <v>0</v>
      </c>
      <c r="W21" s="7">
        <f t="shared" si="127"/>
        <v>0</v>
      </c>
      <c r="X21" s="4">
        <f t="shared" si="127"/>
        <v>0</v>
      </c>
      <c r="Y21" s="8">
        <f t="shared" si="70"/>
        <v>0</v>
      </c>
      <c r="Z21" s="7">
        <f t="shared" si="128"/>
        <v>0</v>
      </c>
      <c r="AA21" s="4">
        <f t="shared" si="128"/>
        <v>0</v>
      </c>
      <c r="AB21" s="8">
        <f t="shared" si="71"/>
        <v>0</v>
      </c>
      <c r="AC21" s="7">
        <f t="shared" si="129"/>
        <v>0</v>
      </c>
      <c r="AD21" s="4">
        <f t="shared" si="129"/>
        <v>0</v>
      </c>
      <c r="AE21" s="8">
        <f t="shared" si="72"/>
        <v>0</v>
      </c>
      <c r="AF21" s="7">
        <f t="shared" si="130"/>
        <v>0</v>
      </c>
      <c r="AG21" s="4">
        <f t="shared" si="130"/>
        <v>0</v>
      </c>
      <c r="AH21" s="8">
        <f t="shared" si="73"/>
        <v>0</v>
      </c>
      <c r="AI21" s="7">
        <f t="shared" si="131"/>
        <v>0</v>
      </c>
      <c r="AJ21" s="4">
        <f t="shared" si="131"/>
        <v>0</v>
      </c>
      <c r="AK21" s="8">
        <f t="shared" si="74"/>
        <v>0</v>
      </c>
      <c r="AL21" s="7">
        <f t="shared" si="132"/>
        <v>0</v>
      </c>
      <c r="AM21" s="1">
        <f t="shared" si="132"/>
        <v>0</v>
      </c>
      <c r="AN21" s="8">
        <f t="shared" si="75"/>
        <v>0</v>
      </c>
      <c r="AO21" s="73">
        <f t="shared" si="77"/>
        <v>0</v>
      </c>
      <c r="AP21" s="80">
        <f t="shared" si="78"/>
        <v>0</v>
      </c>
      <c r="AQ21" s="22">
        <f t="shared" si="79"/>
        <v>0</v>
      </c>
      <c r="AR21" s="7" t="str">
        <f t="shared" si="80"/>
        <v>Ændring kortfristet gæld</v>
      </c>
      <c r="AT21" s="22">
        <v>99334</v>
      </c>
      <c r="AU21" s="88">
        <f t="shared" si="81"/>
        <v>0</v>
      </c>
      <c r="AV21" s="22">
        <f t="shared" si="82"/>
        <v>-99334</v>
      </c>
      <c r="AW21" s="4">
        <f t="shared" si="83"/>
        <v>0</v>
      </c>
      <c r="AX21" s="4">
        <f t="shared" si="84"/>
        <v>0</v>
      </c>
      <c r="AY21" s="4">
        <f t="shared" si="85"/>
        <v>0</v>
      </c>
      <c r="AZ21" s="4">
        <f t="shared" si="86"/>
        <v>0</v>
      </c>
      <c r="BA21" s="4">
        <f t="shared" si="87"/>
        <v>0</v>
      </c>
      <c r="BB21" s="4">
        <f t="shared" si="88"/>
        <v>0</v>
      </c>
      <c r="BC21" s="4">
        <f t="shared" si="89"/>
        <v>0</v>
      </c>
      <c r="BD21" s="4">
        <f t="shared" si="90"/>
        <v>0</v>
      </c>
      <c r="BE21" s="4">
        <f t="shared" si="91"/>
        <v>0</v>
      </c>
      <c r="BF21" s="4">
        <f t="shared" si="92"/>
        <v>0</v>
      </c>
      <c r="BG21" s="4">
        <f t="shared" si="93"/>
        <v>0</v>
      </c>
      <c r="BH21" s="4">
        <f t="shared" si="94"/>
        <v>0</v>
      </c>
      <c r="BI21" s="4">
        <f t="shared" si="121"/>
        <v>0</v>
      </c>
      <c r="BJ21" s="4">
        <f t="shared" si="96"/>
        <v>0</v>
      </c>
      <c r="BK21" s="4">
        <f t="shared" si="97"/>
        <v>0</v>
      </c>
      <c r="BL21" s="4">
        <f t="shared" si="98"/>
        <v>0</v>
      </c>
      <c r="BM21" s="4">
        <f t="shared" si="99"/>
        <v>0</v>
      </c>
      <c r="BN21" s="4">
        <f t="shared" si="100"/>
        <v>0</v>
      </c>
      <c r="BO21" s="4">
        <f t="shared" si="101"/>
        <v>0</v>
      </c>
      <c r="BP21" s="4">
        <f t="shared" si="102"/>
        <v>0</v>
      </c>
      <c r="BQ21" s="4">
        <f t="shared" si="103"/>
        <v>0</v>
      </c>
      <c r="BR21" s="4">
        <f t="shared" si="104"/>
        <v>0</v>
      </c>
      <c r="BS21" s="4">
        <f t="shared" si="105"/>
        <v>0</v>
      </c>
      <c r="BT21" s="4">
        <f t="shared" si="106"/>
        <v>0</v>
      </c>
      <c r="BU21" s="4">
        <f t="shared" si="107"/>
        <v>0</v>
      </c>
      <c r="BV21" s="4">
        <f t="shared" si="108"/>
        <v>0</v>
      </c>
      <c r="BW21" s="4">
        <f t="shared" si="109"/>
        <v>0</v>
      </c>
      <c r="BX21" s="4">
        <f t="shared" si="110"/>
        <v>0</v>
      </c>
      <c r="BY21" s="4">
        <f t="shared" si="111"/>
        <v>0</v>
      </c>
      <c r="BZ21" s="4">
        <f t="shared" si="112"/>
        <v>0</v>
      </c>
      <c r="CA21" s="4">
        <f t="shared" si="113"/>
        <v>0</v>
      </c>
      <c r="CB21" s="4">
        <f t="shared" si="114"/>
        <v>0</v>
      </c>
      <c r="CC21" s="4">
        <f t="shared" si="115"/>
        <v>0</v>
      </c>
      <c r="CD21" s="4">
        <f t="shared" si="116"/>
        <v>0</v>
      </c>
      <c r="CE21" s="4">
        <f t="shared" si="117"/>
        <v>0</v>
      </c>
      <c r="CF21" s="4">
        <f t="shared" si="118"/>
        <v>0</v>
      </c>
    </row>
    <row r="22" spans="1:94" s="4" customFormat="1" hidden="1" x14ac:dyDescent="0.2">
      <c r="B22" s="2"/>
      <c r="C22" s="4" t="s">
        <v>87</v>
      </c>
      <c r="E22" s="36">
        <f>D41-E41</f>
        <v>0</v>
      </c>
      <c r="F22" s="4">
        <f>D41-F41</f>
        <v>0</v>
      </c>
      <c r="G22" s="8">
        <f t="shared" si="64"/>
        <v>0</v>
      </c>
      <c r="H22" s="7">
        <f t="shared" si="122"/>
        <v>0</v>
      </c>
      <c r="I22" s="4">
        <f t="shared" si="122"/>
        <v>0</v>
      </c>
      <c r="J22" s="8">
        <f t="shared" si="65"/>
        <v>0</v>
      </c>
      <c r="K22" s="7">
        <f t="shared" si="123"/>
        <v>0</v>
      </c>
      <c r="L22" s="4">
        <f t="shared" si="123"/>
        <v>0</v>
      </c>
      <c r="M22" s="8">
        <f t="shared" si="66"/>
        <v>0</v>
      </c>
      <c r="N22" s="7">
        <f t="shared" si="124"/>
        <v>0</v>
      </c>
      <c r="O22" s="4">
        <f t="shared" si="124"/>
        <v>0</v>
      </c>
      <c r="P22" s="8">
        <f t="shared" si="67"/>
        <v>0</v>
      </c>
      <c r="Q22" s="7">
        <f t="shared" si="125"/>
        <v>0</v>
      </c>
      <c r="R22" s="4">
        <f t="shared" si="125"/>
        <v>0</v>
      </c>
      <c r="S22" s="8">
        <f t="shared" si="68"/>
        <v>0</v>
      </c>
      <c r="T22" s="7">
        <f t="shared" si="126"/>
        <v>0</v>
      </c>
      <c r="U22" s="4">
        <f t="shared" si="126"/>
        <v>0</v>
      </c>
      <c r="V22" s="8">
        <f t="shared" si="69"/>
        <v>0</v>
      </c>
      <c r="W22" s="7">
        <f t="shared" si="127"/>
        <v>0</v>
      </c>
      <c r="X22" s="4">
        <f t="shared" si="127"/>
        <v>0</v>
      </c>
      <c r="Y22" s="8">
        <f t="shared" si="70"/>
        <v>0</v>
      </c>
      <c r="Z22" s="7">
        <f t="shared" si="128"/>
        <v>0</v>
      </c>
      <c r="AA22" s="4">
        <f t="shared" si="128"/>
        <v>0</v>
      </c>
      <c r="AB22" s="8">
        <f t="shared" si="71"/>
        <v>0</v>
      </c>
      <c r="AC22" s="7">
        <f t="shared" si="129"/>
        <v>0</v>
      </c>
      <c r="AD22" s="4">
        <f t="shared" si="129"/>
        <v>0</v>
      </c>
      <c r="AE22" s="8">
        <f t="shared" si="72"/>
        <v>0</v>
      </c>
      <c r="AF22" s="7">
        <f t="shared" si="130"/>
        <v>0</v>
      </c>
      <c r="AG22" s="4">
        <f t="shared" si="130"/>
        <v>0</v>
      </c>
      <c r="AH22" s="8">
        <f t="shared" si="73"/>
        <v>0</v>
      </c>
      <c r="AI22" s="7">
        <f t="shared" si="131"/>
        <v>0</v>
      </c>
      <c r="AJ22" s="4">
        <f t="shared" si="131"/>
        <v>0</v>
      </c>
      <c r="AK22" s="8">
        <f t="shared" si="74"/>
        <v>0</v>
      </c>
      <c r="AL22" s="7">
        <f t="shared" si="132"/>
        <v>0</v>
      </c>
      <c r="AM22" s="1">
        <f t="shared" si="132"/>
        <v>0</v>
      </c>
      <c r="AN22" s="8">
        <f t="shared" si="75"/>
        <v>0</v>
      </c>
      <c r="AO22" s="73">
        <f t="shared" si="77"/>
        <v>0</v>
      </c>
      <c r="AP22" s="80">
        <f t="shared" si="78"/>
        <v>0</v>
      </c>
      <c r="AQ22" s="22">
        <f t="shared" si="79"/>
        <v>0</v>
      </c>
      <c r="AR22" s="7" t="str">
        <f t="shared" si="80"/>
        <v>Ændring skyldig moms</v>
      </c>
      <c r="AT22" s="22">
        <v>4554</v>
      </c>
      <c r="AU22" s="88">
        <f>INDEX(AW22:BH22,1,$I$1)</f>
        <v>0</v>
      </c>
      <c r="AV22" s="22">
        <f t="shared" si="82"/>
        <v>-4554</v>
      </c>
      <c r="AW22" s="4">
        <f t="shared" si="83"/>
        <v>0</v>
      </c>
      <c r="AX22" s="4">
        <f t="shared" si="84"/>
        <v>0</v>
      </c>
      <c r="AY22" s="4">
        <f t="shared" si="85"/>
        <v>0</v>
      </c>
      <c r="AZ22" s="4">
        <f t="shared" si="86"/>
        <v>0</v>
      </c>
      <c r="BA22" s="4">
        <f t="shared" si="87"/>
        <v>0</v>
      </c>
      <c r="BB22" s="4">
        <f t="shared" si="88"/>
        <v>0</v>
      </c>
      <c r="BC22" s="4">
        <f t="shared" si="89"/>
        <v>0</v>
      </c>
      <c r="BD22" s="4">
        <f t="shared" si="90"/>
        <v>0</v>
      </c>
      <c r="BE22" s="4">
        <f t="shared" si="91"/>
        <v>0</v>
      </c>
      <c r="BF22" s="4">
        <f>AL22+AI22+AG22+AD22+AA22+X22+U22+R22+O22+L22+I22+F22</f>
        <v>0</v>
      </c>
      <c r="BG22" s="4">
        <f t="shared" si="93"/>
        <v>0</v>
      </c>
      <c r="BH22" s="4">
        <f t="shared" si="94"/>
        <v>0</v>
      </c>
      <c r="BI22" s="4">
        <f t="shared" si="121"/>
        <v>0</v>
      </c>
      <c r="BJ22" s="4">
        <f t="shared" si="96"/>
        <v>0</v>
      </c>
      <c r="BK22" s="4">
        <f t="shared" si="97"/>
        <v>0</v>
      </c>
      <c r="BL22" s="4">
        <f t="shared" si="98"/>
        <v>0</v>
      </c>
      <c r="BM22" s="4">
        <f t="shared" si="99"/>
        <v>0</v>
      </c>
      <c r="BN22" s="4">
        <f t="shared" si="100"/>
        <v>0</v>
      </c>
      <c r="BO22" s="4">
        <f t="shared" si="101"/>
        <v>0</v>
      </c>
      <c r="BP22" s="4">
        <f t="shared" si="102"/>
        <v>0</v>
      </c>
      <c r="BQ22" s="4">
        <f t="shared" si="103"/>
        <v>0</v>
      </c>
      <c r="BR22" s="4">
        <f t="shared" si="104"/>
        <v>0</v>
      </c>
      <c r="BS22" s="4">
        <f t="shared" si="105"/>
        <v>0</v>
      </c>
      <c r="BT22" s="4">
        <f t="shared" si="106"/>
        <v>0</v>
      </c>
      <c r="BU22" s="4">
        <f t="shared" si="107"/>
        <v>0</v>
      </c>
      <c r="BV22" s="4">
        <f t="shared" si="108"/>
        <v>0</v>
      </c>
      <c r="BW22" s="4">
        <f t="shared" si="109"/>
        <v>0</v>
      </c>
      <c r="BX22" s="4">
        <f t="shared" si="110"/>
        <v>0</v>
      </c>
      <c r="BY22" s="4">
        <f t="shared" si="111"/>
        <v>0</v>
      </c>
      <c r="BZ22" s="4">
        <f t="shared" si="112"/>
        <v>0</v>
      </c>
      <c r="CA22" s="4">
        <f t="shared" si="113"/>
        <v>0</v>
      </c>
      <c r="CB22" s="4">
        <f t="shared" si="114"/>
        <v>0</v>
      </c>
      <c r="CC22" s="4">
        <f t="shared" si="115"/>
        <v>0</v>
      </c>
      <c r="CD22" s="4">
        <f t="shared" si="116"/>
        <v>0</v>
      </c>
      <c r="CE22" s="4">
        <f t="shared" si="117"/>
        <v>0</v>
      </c>
      <c r="CF22" s="4">
        <f t="shared" si="118"/>
        <v>0</v>
      </c>
    </row>
    <row r="23" spans="1:94" s="4" customFormat="1" hidden="1" x14ac:dyDescent="0.2">
      <c r="B23" s="2"/>
      <c r="C23" s="4" t="s">
        <v>88</v>
      </c>
      <c r="E23" s="36">
        <f>D42-E42</f>
        <v>0</v>
      </c>
      <c r="F23" s="4">
        <f>F42-D42</f>
        <v>0</v>
      </c>
      <c r="G23" s="8">
        <f t="shared" ref="G23" si="139">F23-E23</f>
        <v>0</v>
      </c>
      <c r="H23" s="7">
        <f>E42-H42</f>
        <v>0</v>
      </c>
      <c r="I23" s="4">
        <f>I42-F42</f>
        <v>0</v>
      </c>
      <c r="J23" s="8">
        <f t="shared" si="65"/>
        <v>0</v>
      </c>
      <c r="K23" s="7">
        <f>H42-K42</f>
        <v>0</v>
      </c>
      <c r="L23" s="4">
        <f>L42-I42</f>
        <v>0</v>
      </c>
      <c r="M23" s="8">
        <f t="shared" ref="M23" si="140">L23-K23</f>
        <v>0</v>
      </c>
      <c r="N23" s="7">
        <f>K42-N42</f>
        <v>0</v>
      </c>
      <c r="O23" s="4">
        <f>O42-L42</f>
        <v>0</v>
      </c>
      <c r="P23" s="8">
        <f t="shared" ref="P23" si="141">O23-N23</f>
        <v>0</v>
      </c>
      <c r="Q23" s="7">
        <f>N42-Q42</f>
        <v>0</v>
      </c>
      <c r="R23" s="4">
        <f>-R42+O42</f>
        <v>0</v>
      </c>
      <c r="S23" s="8">
        <f t="shared" ref="S23" si="142">R23-Q23</f>
        <v>0</v>
      </c>
      <c r="T23" s="7">
        <f>Q42-T42</f>
        <v>0</v>
      </c>
      <c r="U23" s="4">
        <f>-U42+R42</f>
        <v>0</v>
      </c>
      <c r="V23" s="8">
        <f t="shared" ref="V23" si="143">U23-T23</f>
        <v>0</v>
      </c>
      <c r="W23" s="7">
        <f>T42-W42</f>
        <v>0</v>
      </c>
      <c r="X23" s="4">
        <f>-X42+U42</f>
        <v>0</v>
      </c>
      <c r="Y23" s="8">
        <f t="shared" si="70"/>
        <v>0</v>
      </c>
      <c r="Z23" s="7">
        <f>W42-Z42</f>
        <v>0</v>
      </c>
      <c r="AA23" s="4">
        <f>-AA42+X42</f>
        <v>0</v>
      </c>
      <c r="AB23" s="8">
        <f t="shared" si="71"/>
        <v>0</v>
      </c>
      <c r="AC23" s="7">
        <f>Z42-AC42</f>
        <v>0</v>
      </c>
      <c r="AD23" s="4">
        <f>-AD42+AA42</f>
        <v>0</v>
      </c>
      <c r="AE23" s="8">
        <f t="shared" si="72"/>
        <v>0</v>
      </c>
      <c r="AF23" s="7">
        <f>AC42-AF42</f>
        <v>0</v>
      </c>
      <c r="AG23" s="4">
        <f>-AG42+AD42</f>
        <v>0</v>
      </c>
      <c r="AH23" s="8">
        <f t="shared" si="73"/>
        <v>0</v>
      </c>
      <c r="AI23" s="7">
        <f>AF42-AI42</f>
        <v>0</v>
      </c>
      <c r="AJ23" s="4">
        <f>-AJ42+AG42</f>
        <v>0</v>
      </c>
      <c r="AK23" s="8">
        <f t="shared" si="74"/>
        <v>0</v>
      </c>
      <c r="AL23" s="7">
        <f>AI42-AL42</f>
        <v>0</v>
      </c>
      <c r="AM23" s="1">
        <f>-AM42+AJ42</f>
        <v>0</v>
      </c>
      <c r="AN23" s="8">
        <f t="shared" si="75"/>
        <v>0</v>
      </c>
      <c r="AO23" s="73">
        <f t="shared" si="77"/>
        <v>0</v>
      </c>
      <c r="AP23" s="80">
        <f t="shared" si="78"/>
        <v>0</v>
      </c>
      <c r="AQ23" s="22">
        <f t="shared" si="79"/>
        <v>0</v>
      </c>
      <c r="AR23" s="7" t="str">
        <f t="shared" ref="AR23" si="144">C23</f>
        <v>Ændring skyldige lønomkostninger</v>
      </c>
      <c r="AT23" s="22">
        <f>BT23</f>
        <v>0</v>
      </c>
      <c r="AU23" s="88">
        <f t="shared" si="81"/>
        <v>0</v>
      </c>
      <c r="AV23" s="22">
        <f t="shared" si="82"/>
        <v>0</v>
      </c>
      <c r="AW23" s="4">
        <f t="shared" si="83"/>
        <v>0</v>
      </c>
      <c r="AX23" s="4">
        <f t="shared" si="84"/>
        <v>0</v>
      </c>
      <c r="AY23" s="4">
        <f t="shared" si="85"/>
        <v>0</v>
      </c>
      <c r="AZ23" s="4">
        <f t="shared" si="86"/>
        <v>0</v>
      </c>
      <c r="BA23" s="4">
        <f t="shared" si="87"/>
        <v>0</v>
      </c>
      <c r="BB23" s="4">
        <f t="shared" si="88"/>
        <v>0</v>
      </c>
      <c r="BC23" s="4">
        <f t="shared" si="89"/>
        <v>0</v>
      </c>
      <c r="BD23" s="4">
        <f t="shared" si="90"/>
        <v>0</v>
      </c>
      <c r="BE23" s="4">
        <f t="shared" si="91"/>
        <v>0</v>
      </c>
      <c r="BF23" s="4">
        <f t="shared" si="92"/>
        <v>0</v>
      </c>
      <c r="BG23" s="4">
        <f t="shared" si="93"/>
        <v>0</v>
      </c>
      <c r="BH23" s="4">
        <f t="shared" si="94"/>
        <v>0</v>
      </c>
      <c r="BI23" s="4">
        <f t="shared" si="121"/>
        <v>0</v>
      </c>
      <c r="BJ23" s="4">
        <f t="shared" si="96"/>
        <v>0</v>
      </c>
      <c r="BK23" s="4">
        <f t="shared" si="97"/>
        <v>0</v>
      </c>
      <c r="BL23" s="4">
        <f t="shared" si="98"/>
        <v>0</v>
      </c>
      <c r="BM23" s="4">
        <f t="shared" si="99"/>
        <v>0</v>
      </c>
      <c r="BN23" s="4">
        <f t="shared" si="100"/>
        <v>0</v>
      </c>
      <c r="BO23" s="4">
        <f t="shared" si="101"/>
        <v>0</v>
      </c>
      <c r="BP23" s="4">
        <f t="shared" si="102"/>
        <v>0</v>
      </c>
      <c r="BQ23" s="4">
        <f t="shared" si="103"/>
        <v>0</v>
      </c>
      <c r="BR23" s="4">
        <f t="shared" si="104"/>
        <v>0</v>
      </c>
      <c r="BS23" s="4">
        <f t="shared" si="105"/>
        <v>0</v>
      </c>
      <c r="BT23" s="4">
        <f t="shared" si="106"/>
        <v>0</v>
      </c>
      <c r="BU23" s="4">
        <f t="shared" si="107"/>
        <v>0</v>
      </c>
      <c r="BV23" s="4">
        <f t="shared" si="108"/>
        <v>0</v>
      </c>
      <c r="BW23" s="4">
        <f t="shared" si="109"/>
        <v>0</v>
      </c>
      <c r="BX23" s="4">
        <f t="shared" si="110"/>
        <v>0</v>
      </c>
      <c r="BY23" s="4">
        <f t="shared" si="111"/>
        <v>0</v>
      </c>
      <c r="BZ23" s="4">
        <f t="shared" si="112"/>
        <v>0</v>
      </c>
      <c r="CA23" s="4">
        <f t="shared" si="113"/>
        <v>0</v>
      </c>
      <c r="CB23" s="4">
        <f t="shared" si="114"/>
        <v>0</v>
      </c>
      <c r="CC23" s="4">
        <f t="shared" si="115"/>
        <v>0</v>
      </c>
      <c r="CD23" s="4">
        <f t="shared" si="116"/>
        <v>0</v>
      </c>
      <c r="CE23" s="4">
        <f t="shared" si="117"/>
        <v>0</v>
      </c>
      <c r="CF23" s="4">
        <f t="shared" si="118"/>
        <v>0</v>
      </c>
    </row>
    <row r="24" spans="1:94" s="4" customFormat="1" hidden="1" x14ac:dyDescent="0.2">
      <c r="B24" s="2"/>
      <c r="E24" s="36"/>
      <c r="G24" s="8"/>
      <c r="H24" s="7"/>
      <c r="J24" s="8">
        <f t="shared" si="65"/>
        <v>0</v>
      </c>
      <c r="K24" s="7"/>
      <c r="M24" s="8"/>
      <c r="N24" s="7"/>
      <c r="P24" s="8"/>
      <c r="Q24" s="7"/>
      <c r="S24" s="8"/>
      <c r="T24" s="7"/>
      <c r="V24" s="8"/>
      <c r="W24" s="7"/>
      <c r="Y24" s="8">
        <f t="shared" si="70"/>
        <v>0</v>
      </c>
      <c r="Z24" s="7"/>
      <c r="AB24" s="8">
        <f t="shared" si="71"/>
        <v>0</v>
      </c>
      <c r="AC24" s="7"/>
      <c r="AE24" s="8">
        <f t="shared" si="72"/>
        <v>0</v>
      </c>
      <c r="AF24" s="7"/>
      <c r="AH24" s="8">
        <f t="shared" si="73"/>
        <v>0</v>
      </c>
      <c r="AI24" s="7"/>
      <c r="AK24" s="8">
        <f t="shared" si="74"/>
        <v>0</v>
      </c>
      <c r="AL24" s="7"/>
      <c r="AM24" s="1"/>
      <c r="AN24" s="8">
        <f t="shared" si="75"/>
        <v>0</v>
      </c>
      <c r="AO24" s="74">
        <f t="shared" si="76"/>
        <v>0</v>
      </c>
      <c r="AP24" s="77">
        <f t="shared" ref="AP24" si="145">AM24+AJ24+AG24+AD24+AA24+X24+U24+R24+O24+L24+I24+F24</f>
        <v>0</v>
      </c>
      <c r="AQ24" s="22">
        <f t="shared" si="79"/>
        <v>0</v>
      </c>
      <c r="AR24" s="7">
        <f t="shared" si="80"/>
        <v>0</v>
      </c>
      <c r="AT24" s="22">
        <v>0</v>
      </c>
      <c r="AU24" s="88">
        <f t="shared" si="81"/>
        <v>0</v>
      </c>
      <c r="AV24" s="22">
        <f t="shared" si="82"/>
        <v>0</v>
      </c>
      <c r="AW24" s="4">
        <f t="shared" si="83"/>
        <v>0</v>
      </c>
      <c r="AX24" s="4">
        <f t="shared" si="84"/>
        <v>0</v>
      </c>
      <c r="AY24" s="4">
        <f t="shared" si="85"/>
        <v>0</v>
      </c>
      <c r="AZ24" s="4">
        <f t="shared" si="86"/>
        <v>0</v>
      </c>
      <c r="BA24" s="4">
        <f t="shared" si="87"/>
        <v>0</v>
      </c>
      <c r="BB24" s="4">
        <f t="shared" si="88"/>
        <v>0</v>
      </c>
      <c r="BC24" s="4">
        <f t="shared" si="89"/>
        <v>0</v>
      </c>
      <c r="BD24" s="4">
        <f t="shared" si="90"/>
        <v>0</v>
      </c>
      <c r="BE24" s="4">
        <f t="shared" si="91"/>
        <v>0</v>
      </c>
      <c r="BF24" s="4">
        <f t="shared" si="92"/>
        <v>0</v>
      </c>
      <c r="BG24" s="4">
        <f t="shared" si="93"/>
        <v>0</v>
      </c>
      <c r="BH24" s="4">
        <f t="shared" si="94"/>
        <v>0</v>
      </c>
    </row>
    <row r="25" spans="1:94" s="4" customFormat="1" hidden="1" x14ac:dyDescent="0.2">
      <c r="B25" s="62"/>
      <c r="C25" s="4" t="s">
        <v>6</v>
      </c>
      <c r="E25" s="36">
        <f>SUM(E15:E24)</f>
        <v>0</v>
      </c>
      <c r="F25" s="4">
        <f>SUM(F15:F24)</f>
        <v>0</v>
      </c>
      <c r="G25" s="8">
        <f t="shared" si="64"/>
        <v>0</v>
      </c>
      <c r="H25" s="7">
        <f>SUM(H15:H24)</f>
        <v>0</v>
      </c>
      <c r="I25" s="4">
        <f>SUM(I15:I24)</f>
        <v>0</v>
      </c>
      <c r="J25" s="8">
        <f t="shared" si="65"/>
        <v>0</v>
      </c>
      <c r="K25" s="7">
        <f>SUM(K15:K24)</f>
        <v>0</v>
      </c>
      <c r="L25" s="4">
        <f>SUM(L15:L24)</f>
        <v>0</v>
      </c>
      <c r="M25" s="8">
        <f t="shared" ref="M25:M26" si="146">L25-K25</f>
        <v>0</v>
      </c>
      <c r="N25" s="7">
        <f>SUM(N15:N24)</f>
        <v>0</v>
      </c>
      <c r="O25" s="4">
        <f>SUM(O15:O24)</f>
        <v>0</v>
      </c>
      <c r="P25" s="8">
        <f t="shared" ref="P25:P26" si="147">O25-N25</f>
        <v>0</v>
      </c>
      <c r="Q25" s="7">
        <f>SUM(Q15:Q24)</f>
        <v>0</v>
      </c>
      <c r="R25" s="4">
        <f>SUM(R15:R24)</f>
        <v>0</v>
      </c>
      <c r="S25" s="8">
        <f t="shared" ref="S25:S26" si="148">R25-Q25</f>
        <v>0</v>
      </c>
      <c r="T25" s="7">
        <f>SUM(T15:T24)</f>
        <v>0</v>
      </c>
      <c r="U25" s="4">
        <f>SUM(U15:U24)</f>
        <v>0</v>
      </c>
      <c r="V25" s="8">
        <f t="shared" ref="V25:V26" si="149">U25-T25</f>
        <v>0</v>
      </c>
      <c r="W25" s="7">
        <f>SUM(W15:W24)</f>
        <v>0</v>
      </c>
      <c r="X25" s="4">
        <f>SUM(X15:X24)</f>
        <v>0</v>
      </c>
      <c r="Y25" s="8">
        <f t="shared" si="70"/>
        <v>0</v>
      </c>
      <c r="Z25" s="7">
        <f>SUM(Z15:Z24)</f>
        <v>0</v>
      </c>
      <c r="AA25" s="4">
        <f>SUM(AA15:AA24)</f>
        <v>0</v>
      </c>
      <c r="AB25" s="8">
        <f t="shared" si="71"/>
        <v>0</v>
      </c>
      <c r="AC25" s="7">
        <f>SUM(AC15:AC24)</f>
        <v>0</v>
      </c>
      <c r="AD25" s="4">
        <f>SUM(AD15:AD24)</f>
        <v>0</v>
      </c>
      <c r="AE25" s="8">
        <f t="shared" si="72"/>
        <v>0</v>
      </c>
      <c r="AF25" s="7">
        <f>SUM(AF15:AF24)</f>
        <v>0</v>
      </c>
      <c r="AG25" s="4">
        <f>SUM(AG15:AG24)</f>
        <v>0</v>
      </c>
      <c r="AH25" s="8">
        <f t="shared" si="73"/>
        <v>0</v>
      </c>
      <c r="AI25" s="7">
        <f>SUM(AI15:AI24)</f>
        <v>0</v>
      </c>
      <c r="AJ25" s="4">
        <f>SUM(AJ15:AJ24)</f>
        <v>0</v>
      </c>
      <c r="AK25" s="8">
        <f t="shared" si="74"/>
        <v>0</v>
      </c>
      <c r="AL25" s="7">
        <f>SUM(AL15:AL24)</f>
        <v>0</v>
      </c>
      <c r="AM25" s="1">
        <f>SUM(AM15:AM24)</f>
        <v>0</v>
      </c>
      <c r="AN25" s="8">
        <f t="shared" si="75"/>
        <v>0</v>
      </c>
      <c r="AO25" s="73">
        <f>SUM(AO15:AO24)</f>
        <v>0</v>
      </c>
      <c r="AP25" s="80">
        <f>SUM(AP15:AP24)</f>
        <v>0</v>
      </c>
      <c r="AQ25" s="22">
        <f>AP25-AO25</f>
        <v>0</v>
      </c>
      <c r="AR25" s="7" t="s">
        <v>23</v>
      </c>
      <c r="AT25" s="22">
        <f>SUM(AT15:AT24)</f>
        <v>165140</v>
      </c>
      <c r="AU25" s="88">
        <f>SUM(AU15:AU24)</f>
        <v>0</v>
      </c>
      <c r="AV25" s="22">
        <f>AU25-AT25</f>
        <v>-165140</v>
      </c>
      <c r="AW25" s="4">
        <f t="shared" si="83"/>
        <v>0</v>
      </c>
      <c r="AX25" s="4">
        <f t="shared" si="84"/>
        <v>0</v>
      </c>
      <c r="AY25" s="4">
        <f t="shared" si="85"/>
        <v>0</v>
      </c>
      <c r="AZ25" s="4">
        <f t="shared" si="86"/>
        <v>0</v>
      </c>
      <c r="BA25" s="4">
        <f t="shared" si="87"/>
        <v>0</v>
      </c>
      <c r="BB25" s="4">
        <f t="shared" si="88"/>
        <v>0</v>
      </c>
      <c r="BC25" s="4">
        <f t="shared" si="89"/>
        <v>0</v>
      </c>
      <c r="BD25" s="4">
        <f t="shared" si="90"/>
        <v>0</v>
      </c>
      <c r="BE25" s="4">
        <f t="shared" si="91"/>
        <v>0</v>
      </c>
      <c r="BF25" s="4">
        <f t="shared" si="92"/>
        <v>0</v>
      </c>
      <c r="BG25" s="4">
        <f t="shared" si="93"/>
        <v>0</v>
      </c>
      <c r="BH25" s="4">
        <f t="shared" si="94"/>
        <v>0</v>
      </c>
    </row>
    <row r="26" spans="1:94" s="4" customFormat="1" hidden="1" x14ac:dyDescent="0.2">
      <c r="C26" s="4" t="s">
        <v>5</v>
      </c>
      <c r="E26" s="36">
        <f>IF($F$1=3,E53,E52)</f>
        <v>0</v>
      </c>
      <c r="F26" s="4">
        <f>D28+F25</f>
        <v>0</v>
      </c>
      <c r="G26" s="8">
        <f t="shared" si="64"/>
        <v>0</v>
      </c>
      <c r="H26" s="7">
        <f>IF($F$1=3,H53,H52)</f>
        <v>0</v>
      </c>
      <c r="I26" s="4">
        <f>F28+I25</f>
        <v>0</v>
      </c>
      <c r="J26" s="8">
        <f t="shared" si="65"/>
        <v>0</v>
      </c>
      <c r="K26" s="7">
        <f>IF($F$1=3,K53,K52)</f>
        <v>0</v>
      </c>
      <c r="L26" s="4">
        <f>I28+L25</f>
        <v>0</v>
      </c>
      <c r="M26" s="8">
        <f t="shared" si="146"/>
        <v>0</v>
      </c>
      <c r="N26" s="7">
        <f>IF($F$1=3,N53,N52)</f>
        <v>0</v>
      </c>
      <c r="O26" s="4">
        <f>L28+O25</f>
        <v>0</v>
      </c>
      <c r="P26" s="8">
        <f t="shared" si="147"/>
        <v>0</v>
      </c>
      <c r="Q26" s="7">
        <f>IF($F$1=3,Q53,Q52)</f>
        <v>0</v>
      </c>
      <c r="R26" s="4">
        <f>O28+R25</f>
        <v>0</v>
      </c>
      <c r="S26" s="8">
        <f t="shared" si="148"/>
        <v>0</v>
      </c>
      <c r="T26" s="7">
        <f>IF($F$1=3,T53,T52)</f>
        <v>0</v>
      </c>
      <c r="U26" s="4">
        <f>R28+U25</f>
        <v>0</v>
      </c>
      <c r="V26" s="8">
        <f t="shared" si="149"/>
        <v>0</v>
      </c>
      <c r="W26" s="7">
        <f>IF($F$1=3,W53,W52)</f>
        <v>0</v>
      </c>
      <c r="X26" s="4">
        <f>U28+X25</f>
        <v>0</v>
      </c>
      <c r="Y26" s="8">
        <f t="shared" si="70"/>
        <v>0</v>
      </c>
      <c r="Z26" s="7">
        <f>IF($F$1=3,Z53,Z52)</f>
        <v>0</v>
      </c>
      <c r="AA26" s="4">
        <f>X28+AA25</f>
        <v>0</v>
      </c>
      <c r="AB26" s="8">
        <f t="shared" si="71"/>
        <v>0</v>
      </c>
      <c r="AC26" s="7">
        <f>IF($F$1=3,AC53,AC52)</f>
        <v>0</v>
      </c>
      <c r="AD26" s="4">
        <f>AA28+AD25</f>
        <v>0</v>
      </c>
      <c r="AE26" s="8">
        <f t="shared" si="72"/>
        <v>0</v>
      </c>
      <c r="AF26" s="7">
        <f>IF($F$1=3,AF53,AF52)</f>
        <v>0</v>
      </c>
      <c r="AG26" s="4">
        <f>AD28+AG25</f>
        <v>0</v>
      </c>
      <c r="AH26" s="8">
        <f t="shared" si="73"/>
        <v>0</v>
      </c>
      <c r="AI26" s="7">
        <f>IF($F$1=3,AI53,AI52)</f>
        <v>0</v>
      </c>
      <c r="AJ26" s="4">
        <f>AG28+AJ25</f>
        <v>0</v>
      </c>
      <c r="AK26" s="8">
        <f t="shared" si="74"/>
        <v>0</v>
      </c>
      <c r="AL26" s="7">
        <f>IF($F$1=3,AL53,AL52)</f>
        <v>0</v>
      </c>
      <c r="AM26" s="1">
        <f>AJ28+AM25</f>
        <v>0</v>
      </c>
      <c r="AN26" s="8">
        <f t="shared" si="75"/>
        <v>0</v>
      </c>
      <c r="AO26" s="73"/>
      <c r="AP26" s="80"/>
      <c r="AQ26" s="22">
        <f>AO26-AP26</f>
        <v>0</v>
      </c>
      <c r="AT26" s="22"/>
      <c r="AU26" s="88"/>
      <c r="AV26" s="22">
        <f>AT26-AU26</f>
        <v>0</v>
      </c>
      <c r="AW26" s="4">
        <f>F26</f>
        <v>0</v>
      </c>
      <c r="AX26" s="4">
        <f>I26</f>
        <v>0</v>
      </c>
      <c r="AY26" s="4">
        <f>L26</f>
        <v>0</v>
      </c>
      <c r="AZ26" s="4">
        <f>O26</f>
        <v>0</v>
      </c>
      <c r="BA26" s="4">
        <f>R26</f>
        <v>0</v>
      </c>
      <c r="BB26" s="4">
        <f>U26</f>
        <v>0</v>
      </c>
      <c r="BC26" s="4">
        <f>X26</f>
        <v>0</v>
      </c>
      <c r="BD26" s="4">
        <f>AA26</f>
        <v>0</v>
      </c>
      <c r="BE26" s="4">
        <f>AD26</f>
        <v>0</v>
      </c>
      <c r="BF26" s="4">
        <f>AG26</f>
        <v>0</v>
      </c>
      <c r="BG26" s="4">
        <f>AJ26</f>
        <v>0</v>
      </c>
      <c r="BH26" s="4">
        <f>AM26</f>
        <v>0</v>
      </c>
    </row>
    <row r="27" spans="1:94" s="4" customFormat="1" hidden="1" x14ac:dyDescent="0.2">
      <c r="B27" s="2"/>
      <c r="C27" s="4" t="s">
        <v>4</v>
      </c>
      <c r="E27" s="7"/>
      <c r="F27" s="46">
        <f>F26-F28</f>
        <v>0</v>
      </c>
      <c r="G27" s="47"/>
      <c r="H27" s="48"/>
      <c r="I27" s="46">
        <f>I26-I28</f>
        <v>0</v>
      </c>
      <c r="J27" s="47"/>
      <c r="K27" s="48"/>
      <c r="L27" s="46">
        <f>L26-L28</f>
        <v>0</v>
      </c>
      <c r="M27" s="47"/>
      <c r="N27" s="48"/>
      <c r="O27" s="46">
        <f>O26-O28</f>
        <v>0</v>
      </c>
      <c r="P27" s="47"/>
      <c r="Q27" s="48"/>
      <c r="R27" s="46">
        <f>R26-R28</f>
        <v>0</v>
      </c>
      <c r="S27" s="47"/>
      <c r="T27" s="48"/>
      <c r="U27" s="46">
        <f>U26-U28</f>
        <v>0</v>
      </c>
      <c r="V27" s="47"/>
      <c r="W27" s="48"/>
      <c r="X27" s="46">
        <f>X26-X28</f>
        <v>0</v>
      </c>
      <c r="Y27" s="47"/>
      <c r="Z27" s="48"/>
      <c r="AA27" s="46">
        <f>AA26-AA28</f>
        <v>0</v>
      </c>
      <c r="AB27" s="47"/>
      <c r="AC27" s="48"/>
      <c r="AD27" s="46">
        <f>AD26-AD28</f>
        <v>0</v>
      </c>
      <c r="AE27" s="47"/>
      <c r="AF27" s="48"/>
      <c r="AG27" s="46">
        <f>AG26-AG28</f>
        <v>0</v>
      </c>
      <c r="AH27" s="47"/>
      <c r="AI27" s="48"/>
      <c r="AJ27" s="46">
        <f>AJ26-AJ28</f>
        <v>0</v>
      </c>
      <c r="AK27" s="47"/>
      <c r="AL27" s="48"/>
      <c r="AM27" s="46">
        <f>AM26-AM28</f>
        <v>0</v>
      </c>
      <c r="AN27" s="8"/>
      <c r="AO27" s="74">
        <f>AL27+AI27+AF27+AC27+Z27+W27+T27+Q27+N27+K27+H27+E27</f>
        <v>0</v>
      </c>
      <c r="AP27" s="77"/>
      <c r="AQ27" s="34">
        <f>AO27-AP27</f>
        <v>0</v>
      </c>
      <c r="AR27" s="4" t="str">
        <f>C27</f>
        <v>Diff</v>
      </c>
      <c r="AT27" s="22"/>
      <c r="AU27" s="88">
        <f>INDEX(AW27:BH27,1,$I$1)</f>
        <v>0</v>
      </c>
      <c r="AV27" s="34">
        <f>AT27-AU27</f>
        <v>0</v>
      </c>
      <c r="AW27" s="4">
        <f>F27</f>
        <v>0</v>
      </c>
      <c r="AX27" s="4">
        <f>I27</f>
        <v>0</v>
      </c>
      <c r="AY27" s="4">
        <f>L27</f>
        <v>0</v>
      </c>
      <c r="AZ27" s="4">
        <f>O27</f>
        <v>0</v>
      </c>
      <c r="BA27" s="4">
        <f>R27</f>
        <v>0</v>
      </c>
      <c r="BB27" s="4">
        <f>U27</f>
        <v>0</v>
      </c>
      <c r="BC27" s="4">
        <f>X27</f>
        <v>0</v>
      </c>
      <c r="BD27" s="4">
        <f>AA27</f>
        <v>0</v>
      </c>
      <c r="BE27" s="4">
        <f>AD27</f>
        <v>0</v>
      </c>
      <c r="BF27" s="4">
        <f>AG27</f>
        <v>0</v>
      </c>
      <c r="BG27" s="4">
        <f>AJ27</f>
        <v>0</v>
      </c>
      <c r="BH27" s="4">
        <f>AM27</f>
        <v>0</v>
      </c>
    </row>
    <row r="28" spans="1:94" s="6" customFormat="1" hidden="1" x14ac:dyDescent="0.2">
      <c r="A28" s="6" t="s">
        <v>59</v>
      </c>
      <c r="B28" s="10"/>
      <c r="D28" s="6">
        <f>SUM(D35)</f>
        <v>0</v>
      </c>
      <c r="E28" s="19" t="str">
        <f>IF(RealMaaned&lt;1,E53,"")</f>
        <v/>
      </c>
      <c r="F28" s="6">
        <f>E53</f>
        <v>0</v>
      </c>
      <c r="G28" s="18"/>
      <c r="H28" s="19" t="str">
        <f>IF(RealMaaned&lt;2,H53,"")</f>
        <v/>
      </c>
      <c r="I28" s="6">
        <f>H53</f>
        <v>0</v>
      </c>
      <c r="J28" s="18"/>
      <c r="K28" s="19"/>
      <c r="L28" s="6">
        <f>K53</f>
        <v>0</v>
      </c>
      <c r="M28" s="18"/>
      <c r="N28" s="19"/>
      <c r="O28" s="6">
        <f>N53</f>
        <v>0</v>
      </c>
      <c r="P28" s="18"/>
      <c r="Q28" s="19"/>
      <c r="R28" s="6">
        <f>Q53</f>
        <v>0</v>
      </c>
      <c r="S28" s="18"/>
      <c r="T28" s="19"/>
      <c r="U28" s="6">
        <f>T53</f>
        <v>0</v>
      </c>
      <c r="V28" s="18"/>
      <c r="W28" s="19"/>
      <c r="X28" s="6">
        <f>W53</f>
        <v>0</v>
      </c>
      <c r="Y28" s="18"/>
      <c r="Z28" s="19"/>
      <c r="AA28" s="6">
        <f>Z53</f>
        <v>0</v>
      </c>
      <c r="AB28" s="18"/>
      <c r="AC28" s="19"/>
      <c r="AD28" s="6">
        <f>AC53</f>
        <v>0</v>
      </c>
      <c r="AE28" s="18"/>
      <c r="AF28" s="19"/>
      <c r="AG28" s="6">
        <f>AF53</f>
        <v>0</v>
      </c>
      <c r="AH28" s="18"/>
      <c r="AI28" s="19"/>
      <c r="AJ28" s="6">
        <f>AI53</f>
        <v>0</v>
      </c>
      <c r="AK28" s="18"/>
      <c r="AL28" s="19"/>
      <c r="AM28" s="6">
        <f>AL53</f>
        <v>0</v>
      </c>
      <c r="AN28" s="18"/>
      <c r="AO28" s="75">
        <f>AO25+D28</f>
        <v>0</v>
      </c>
      <c r="AP28" s="81">
        <f>D28+AP25</f>
        <v>0</v>
      </c>
      <c r="AQ28" s="17">
        <f>AP28-AO28</f>
        <v>0</v>
      </c>
      <c r="AR28" s="11" t="s">
        <v>25</v>
      </c>
      <c r="AT28" s="17">
        <f>AT25-5441</f>
        <v>159699</v>
      </c>
      <c r="AU28" s="89">
        <f>AU25+AU27+D28</f>
        <v>0</v>
      </c>
      <c r="AV28" s="17">
        <f>AU28-AT28</f>
        <v>-159699</v>
      </c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</row>
    <row r="29" spans="1:94" s="4" customFormat="1" hidden="1" x14ac:dyDescent="0.2">
      <c r="B29" s="2"/>
      <c r="D29" s="16" t="s">
        <v>71</v>
      </c>
      <c r="E29" s="43">
        <v>0.5</v>
      </c>
      <c r="F29" s="44" t="str">
        <f>IF(F4&gt;0,F34/F4,"")</f>
        <v/>
      </c>
      <c r="H29" s="43">
        <v>0.5</v>
      </c>
      <c r="I29" s="44" t="str">
        <f>IF(I4&gt;0,I34/I4,"")</f>
        <v/>
      </c>
      <c r="K29" s="43">
        <v>0.5</v>
      </c>
      <c r="L29" s="44" t="str">
        <f>IF(L4&gt;0,L34/L4,"")</f>
        <v/>
      </c>
      <c r="N29" s="43">
        <v>0.5</v>
      </c>
      <c r="O29" s="44" t="str">
        <f>IF(O4&gt;0,O34/O4,"")</f>
        <v/>
      </c>
      <c r="Q29" s="43">
        <v>0.5</v>
      </c>
      <c r="R29" s="44" t="str">
        <f>IF(R4&gt;0,R34/R4,"")</f>
        <v/>
      </c>
      <c r="T29" s="43">
        <v>0.5</v>
      </c>
      <c r="U29" s="44" t="str">
        <f>IF(U4&gt;0,U34/U4,"")</f>
        <v/>
      </c>
      <c r="W29" s="43">
        <v>0.5</v>
      </c>
      <c r="X29" s="44" t="str">
        <f>IF(X4&gt;0,X34/X4,"")</f>
        <v/>
      </c>
      <c r="Z29" s="43">
        <v>0.5</v>
      </c>
      <c r="AA29" s="44" t="str">
        <f>IF(AA4&gt;0,AA34/AA4,"")</f>
        <v/>
      </c>
      <c r="AC29" s="43">
        <v>0.5</v>
      </c>
      <c r="AD29" s="44" t="str">
        <f>IF(AD4&gt;0,AD34/AD4,"")</f>
        <v/>
      </c>
      <c r="AF29" s="43">
        <v>0.5</v>
      </c>
      <c r="AG29" s="44" t="str">
        <f>IF(AG4&gt;0,AG34/AG4,"")</f>
        <v/>
      </c>
      <c r="AI29" s="43">
        <v>0.5</v>
      </c>
      <c r="AJ29" s="44" t="str">
        <f>IF(AJ4&gt;0,AJ34/AJ4,"")</f>
        <v/>
      </c>
      <c r="AL29" s="43">
        <v>0.5</v>
      </c>
      <c r="AM29" s="44" t="str">
        <f>IF(AM4&gt;0,AM34/AM4,"")</f>
        <v/>
      </c>
      <c r="AO29" s="5"/>
    </row>
    <row r="30" spans="1:94" hidden="1" x14ac:dyDescent="0.2">
      <c r="A30" s="4"/>
      <c r="C30" s="4"/>
      <c r="D30" s="16" t="s">
        <v>70</v>
      </c>
      <c r="E30" s="43">
        <v>0.8</v>
      </c>
      <c r="F30" s="44" t="str">
        <f>IF(F40&lt;&gt;0,F40/SUM(F5:F14),"")</f>
        <v/>
      </c>
      <c r="G30" s="4"/>
      <c r="H30" s="43">
        <v>0.8</v>
      </c>
      <c r="I30" s="44" t="str">
        <f>IF(I40&lt;&gt;0,I40/SUM(I5:I14),"")</f>
        <v/>
      </c>
      <c r="J30" s="4"/>
      <c r="K30" s="43">
        <v>0.8</v>
      </c>
      <c r="L30" s="44" t="str">
        <f>IF(L40&lt;&gt;0,L40/SUM(L5:L14),"")</f>
        <v/>
      </c>
      <c r="M30" s="4"/>
      <c r="N30" s="43">
        <v>0.8</v>
      </c>
      <c r="O30" s="44" t="str">
        <f>IF(O40&lt;&gt;0,O40/SUM(O5:O14),"")</f>
        <v/>
      </c>
      <c r="P30" s="4"/>
      <c r="Q30" s="43">
        <v>0.8</v>
      </c>
      <c r="R30" s="44" t="str">
        <f>IF(R40&lt;&gt;0,R40/SUM(R5:R14),"")</f>
        <v/>
      </c>
      <c r="S30" s="4"/>
      <c r="T30" s="43">
        <v>0.8</v>
      </c>
      <c r="U30" s="44" t="str">
        <f>IF(U40&lt;&gt;0,U40/SUM(U5:U14),"")</f>
        <v/>
      </c>
      <c r="V30" s="4"/>
      <c r="W30" s="43">
        <v>0.8</v>
      </c>
      <c r="X30" s="44" t="str">
        <f>IF(X40&lt;&gt;0,X40/SUM(X5:X14),"")</f>
        <v/>
      </c>
      <c r="Y30" s="4"/>
      <c r="Z30" s="43">
        <v>0.8</v>
      </c>
      <c r="AA30" s="44" t="str">
        <f>IF(AA40&lt;&gt;0,AA40/SUM(AA5:AA14),"")</f>
        <v/>
      </c>
      <c r="AB30" s="4"/>
      <c r="AC30" s="43">
        <v>0.8</v>
      </c>
      <c r="AD30" s="44" t="str">
        <f>IF(AD40&lt;&gt;0,AD40/SUM(AD5:AD14),"")</f>
        <v/>
      </c>
      <c r="AE30" s="4"/>
      <c r="AF30" s="43">
        <v>0.8</v>
      </c>
      <c r="AG30" s="44" t="str">
        <f>IF(AG40&lt;&gt;0,AG40/SUM(AG5:AG14),"")</f>
        <v/>
      </c>
      <c r="AH30" s="4"/>
      <c r="AI30" s="43">
        <v>0.8</v>
      </c>
      <c r="AJ30" s="44" t="str">
        <f>IF(AJ40&lt;&gt;0,AJ40/SUM(AJ5:AJ14),"")</f>
        <v/>
      </c>
      <c r="AK30" s="4"/>
      <c r="AL30" s="43">
        <v>0.8</v>
      </c>
      <c r="AM30" s="44" t="str">
        <f>IF(AM40&lt;&gt;0,AM40/SUM(AM5:AM14),"")</f>
        <v/>
      </c>
      <c r="AN30" s="4"/>
      <c r="AO30" s="5"/>
      <c r="AP30" s="4"/>
      <c r="AQ30" s="4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</row>
    <row r="31" spans="1:94" hidden="1" x14ac:dyDescent="0.2">
      <c r="A31" s="4"/>
      <c r="C31" s="4"/>
      <c r="D31" s="37"/>
      <c r="E31" s="112" t="s">
        <v>14</v>
      </c>
      <c r="F31" s="113"/>
      <c r="G31" s="114"/>
      <c r="H31" s="112" t="s">
        <v>15</v>
      </c>
      <c r="I31" s="113"/>
      <c r="J31" s="114"/>
      <c r="K31" s="112" t="s">
        <v>16</v>
      </c>
      <c r="L31" s="113"/>
      <c r="M31" s="114"/>
      <c r="N31" s="112" t="s">
        <v>17</v>
      </c>
      <c r="O31" s="113"/>
      <c r="P31" s="114"/>
      <c r="Q31" s="112" t="s">
        <v>0</v>
      </c>
      <c r="R31" s="113"/>
      <c r="S31" s="114"/>
      <c r="T31" s="112" t="s">
        <v>18</v>
      </c>
      <c r="U31" s="113"/>
      <c r="V31" s="114"/>
      <c r="W31" s="112" t="s">
        <v>8</v>
      </c>
      <c r="X31" s="113"/>
      <c r="Y31" s="114"/>
      <c r="Z31" s="112" t="s">
        <v>9</v>
      </c>
      <c r="AA31" s="113"/>
      <c r="AB31" s="114"/>
      <c r="AC31" s="112" t="s">
        <v>10</v>
      </c>
      <c r="AD31" s="113"/>
      <c r="AE31" s="114"/>
      <c r="AF31" s="112" t="s">
        <v>11</v>
      </c>
      <c r="AG31" s="113"/>
      <c r="AH31" s="114"/>
      <c r="AI31" s="112" t="s">
        <v>12</v>
      </c>
      <c r="AJ31" s="113"/>
      <c r="AK31" s="114"/>
      <c r="AL31" s="112" t="s">
        <v>13</v>
      </c>
      <c r="AM31" s="113"/>
      <c r="AN31" s="114"/>
      <c r="AO31" s="64"/>
      <c r="AP31" s="4"/>
      <c r="AQ31" s="4"/>
    </row>
    <row r="32" spans="1:94" s="4" customFormat="1" hidden="1" x14ac:dyDescent="0.2">
      <c r="A32" s="2"/>
      <c r="B32" s="5" t="s">
        <v>60</v>
      </c>
      <c r="D32" s="26" t="s">
        <v>61</v>
      </c>
      <c r="E32" s="31" t="s">
        <v>39</v>
      </c>
      <c r="F32" s="24" t="s">
        <v>2</v>
      </c>
      <c r="G32" s="21" t="s">
        <v>1</v>
      </c>
      <c r="H32" s="31" t="s">
        <v>40</v>
      </c>
      <c r="I32" s="24" t="s">
        <v>2</v>
      </c>
      <c r="J32" s="21" t="s">
        <v>1</v>
      </c>
      <c r="K32" s="31" t="s">
        <v>41</v>
      </c>
      <c r="L32" s="24" t="s">
        <v>2</v>
      </c>
      <c r="M32" s="21" t="s">
        <v>1</v>
      </c>
      <c r="N32" s="31" t="s">
        <v>42</v>
      </c>
      <c r="O32" s="24" t="s">
        <v>2</v>
      </c>
      <c r="P32" s="21" t="s">
        <v>1</v>
      </c>
      <c r="Q32" s="31" t="s">
        <v>43</v>
      </c>
      <c r="R32" s="24" t="s">
        <v>2</v>
      </c>
      <c r="S32" s="21" t="s">
        <v>1</v>
      </c>
      <c r="T32" s="31" t="s">
        <v>44</v>
      </c>
      <c r="U32" s="24" t="s">
        <v>2</v>
      </c>
      <c r="V32" s="21" t="s">
        <v>1</v>
      </c>
      <c r="W32" s="31" t="s">
        <v>45</v>
      </c>
      <c r="X32" s="24" t="s">
        <v>2</v>
      </c>
      <c r="Y32" s="21" t="s">
        <v>1</v>
      </c>
      <c r="Z32" s="31" t="s">
        <v>46</v>
      </c>
      <c r="AA32" s="24" t="s">
        <v>2</v>
      </c>
      <c r="AB32" s="21" t="s">
        <v>1</v>
      </c>
      <c r="AC32" s="31" t="s">
        <v>47</v>
      </c>
      <c r="AD32" s="24" t="s">
        <v>2</v>
      </c>
      <c r="AE32" s="21" t="s">
        <v>1</v>
      </c>
      <c r="AF32" s="31" t="s">
        <v>48</v>
      </c>
      <c r="AG32" s="24" t="s">
        <v>2</v>
      </c>
      <c r="AH32" s="21" t="s">
        <v>1</v>
      </c>
      <c r="AI32" s="31" t="s">
        <v>49</v>
      </c>
      <c r="AJ32" s="24" t="s">
        <v>2</v>
      </c>
      <c r="AK32" s="21" t="s">
        <v>1</v>
      </c>
      <c r="AL32" s="32" t="s">
        <v>50</v>
      </c>
      <c r="AM32" s="20" t="s">
        <v>2</v>
      </c>
      <c r="AN32" s="39" t="s">
        <v>1</v>
      </c>
      <c r="AO32" s="64"/>
      <c r="AR32" s="5"/>
      <c r="AS32" s="5"/>
      <c r="AU32" s="99"/>
      <c r="AV32" s="1"/>
      <c r="AW32" s="33" t="s">
        <v>24</v>
      </c>
      <c r="AX32" s="33" t="s">
        <v>27</v>
      </c>
      <c r="AY32" s="33" t="s">
        <v>28</v>
      </c>
      <c r="AZ32" s="33" t="s">
        <v>29</v>
      </c>
      <c r="BA32" s="33" t="s">
        <v>30</v>
      </c>
      <c r="BB32" s="33" t="s">
        <v>0</v>
      </c>
      <c r="BC32" s="33" t="s">
        <v>31</v>
      </c>
      <c r="BD32" s="33" t="s">
        <v>32</v>
      </c>
      <c r="BE32" s="33" t="s">
        <v>33</v>
      </c>
      <c r="BF32" s="33" t="s">
        <v>34</v>
      </c>
      <c r="BG32" s="33" t="s">
        <v>35</v>
      </c>
      <c r="BH32" s="33" t="s">
        <v>36</v>
      </c>
      <c r="BI32" s="33" t="s">
        <v>37</v>
      </c>
    </row>
    <row r="33" spans="1:62" s="4" customFormat="1" hidden="1" x14ac:dyDescent="0.2">
      <c r="A33" s="2"/>
      <c r="B33" s="4" t="s">
        <v>73</v>
      </c>
      <c r="D33" s="52"/>
      <c r="E33" s="51"/>
      <c r="F33" s="40"/>
      <c r="G33" s="93">
        <f t="shared" ref="G33:G43" si="150">E33-F33</f>
        <v>0</v>
      </c>
      <c r="H33" s="51"/>
      <c r="I33" s="40"/>
      <c r="J33" s="93">
        <f t="shared" ref="J33:J42" si="151">H33-I33</f>
        <v>0</v>
      </c>
      <c r="K33" s="51"/>
      <c r="L33" s="40"/>
      <c r="M33" s="93">
        <f t="shared" ref="M33:M42" si="152">K33-L33</f>
        <v>0</v>
      </c>
      <c r="N33" s="51"/>
      <c r="O33" s="40"/>
      <c r="P33" s="93">
        <f t="shared" ref="P33:P42" si="153">N33-O33</f>
        <v>0</v>
      </c>
      <c r="Q33" s="51"/>
      <c r="R33" s="40"/>
      <c r="S33" s="93">
        <f t="shared" ref="S33:S42" si="154">Q33-R33</f>
        <v>0</v>
      </c>
      <c r="T33" s="51"/>
      <c r="U33" s="40"/>
      <c r="V33" s="93">
        <f t="shared" ref="V33:V42" si="155">T33-U33</f>
        <v>0</v>
      </c>
      <c r="W33" s="51"/>
      <c r="X33" s="40"/>
      <c r="Y33" s="93">
        <f t="shared" ref="Y33:Y42" si="156">W33-X33</f>
        <v>0</v>
      </c>
      <c r="Z33" s="51"/>
      <c r="AA33" s="40"/>
      <c r="AB33" s="93">
        <f t="shared" ref="AB33:AB42" si="157">Z33-AA33</f>
        <v>0</v>
      </c>
      <c r="AC33" s="51"/>
      <c r="AD33" s="40"/>
      <c r="AE33" s="93">
        <f t="shared" ref="AE33:AE42" si="158">AC33-AD33</f>
        <v>0</v>
      </c>
      <c r="AF33" s="51"/>
      <c r="AG33" s="40"/>
      <c r="AH33" s="93">
        <f t="shared" ref="AH33:AH42" si="159">AF33-AG33</f>
        <v>0</v>
      </c>
      <c r="AI33" s="51"/>
      <c r="AJ33" s="40"/>
      <c r="AK33" s="93">
        <f t="shared" ref="AK33:AK42" si="160">AI33-AJ33</f>
        <v>0</v>
      </c>
      <c r="AL33" s="51"/>
      <c r="AM33" s="40"/>
      <c r="AN33" s="93">
        <f t="shared" ref="AN33:AN42" si="161">AL33-AM33</f>
        <v>0</v>
      </c>
      <c r="AO33" s="64"/>
      <c r="AU33" s="1"/>
      <c r="AV33" s="100"/>
      <c r="AW33" s="1">
        <f>D52</f>
        <v>0</v>
      </c>
      <c r="AX33" s="1">
        <f>E52</f>
        <v>0</v>
      </c>
      <c r="AY33" s="1">
        <f>H52</f>
        <v>0</v>
      </c>
      <c r="AZ33" s="1">
        <f>K52</f>
        <v>0</v>
      </c>
      <c r="BA33" s="1">
        <f>N52</f>
        <v>0</v>
      </c>
      <c r="BB33" s="1">
        <f>Q52</f>
        <v>0</v>
      </c>
      <c r="BC33" s="1">
        <f>T52</f>
        <v>0</v>
      </c>
      <c r="BD33" s="1">
        <f>W52</f>
        <v>0</v>
      </c>
      <c r="BE33" s="1">
        <f>Z52</f>
        <v>0</v>
      </c>
      <c r="BF33" s="1">
        <f>AC52</f>
        <v>0</v>
      </c>
      <c r="BG33" s="1">
        <f>AF52</f>
        <v>0</v>
      </c>
      <c r="BH33" s="1">
        <f>AI52</f>
        <v>0</v>
      </c>
      <c r="BI33" s="1">
        <f>AL52</f>
        <v>0</v>
      </c>
      <c r="BJ33" s="4" t="s">
        <v>66</v>
      </c>
    </row>
    <row r="34" spans="1:62" s="4" customFormat="1" hidden="1" x14ac:dyDescent="0.2">
      <c r="A34" s="2"/>
      <c r="B34" s="4" t="s">
        <v>74</v>
      </c>
      <c r="D34" s="41"/>
      <c r="E34" s="55"/>
      <c r="F34" s="41"/>
      <c r="G34" s="93">
        <f t="shared" si="150"/>
        <v>0</v>
      </c>
      <c r="H34" s="55">
        <f>H4*H29</f>
        <v>0</v>
      </c>
      <c r="I34" s="41"/>
      <c r="J34" s="93">
        <f t="shared" si="151"/>
        <v>0</v>
      </c>
      <c r="K34" s="55">
        <f>K4*K29</f>
        <v>0</v>
      </c>
      <c r="L34" s="41"/>
      <c r="M34" s="93">
        <f t="shared" si="152"/>
        <v>0</v>
      </c>
      <c r="N34" s="55">
        <f>N4*N29</f>
        <v>0</v>
      </c>
      <c r="O34" s="41"/>
      <c r="P34" s="93">
        <f t="shared" si="153"/>
        <v>0</v>
      </c>
      <c r="Q34" s="55">
        <f>Q4*Q29</f>
        <v>0</v>
      </c>
      <c r="R34" s="41"/>
      <c r="S34" s="93">
        <f t="shared" si="154"/>
        <v>0</v>
      </c>
      <c r="T34" s="55">
        <f>T4*T29</f>
        <v>0</v>
      </c>
      <c r="U34" s="41"/>
      <c r="V34" s="93">
        <f t="shared" si="155"/>
        <v>0</v>
      </c>
      <c r="W34" s="55">
        <f>W4*W29</f>
        <v>0</v>
      </c>
      <c r="X34" s="41"/>
      <c r="Y34" s="93">
        <f t="shared" si="156"/>
        <v>0</v>
      </c>
      <c r="Z34" s="55">
        <f>Z4*Z29</f>
        <v>0</v>
      </c>
      <c r="AA34" s="41"/>
      <c r="AB34" s="93">
        <f t="shared" si="157"/>
        <v>0</v>
      </c>
      <c r="AC34" s="55">
        <f>AC4*AC29</f>
        <v>0</v>
      </c>
      <c r="AD34" s="41"/>
      <c r="AE34" s="93">
        <f t="shared" si="158"/>
        <v>0</v>
      </c>
      <c r="AF34" s="55">
        <f>AF4*AF29</f>
        <v>0</v>
      </c>
      <c r="AG34" s="41"/>
      <c r="AH34" s="93">
        <f t="shared" si="159"/>
        <v>0</v>
      </c>
      <c r="AI34" s="55">
        <f>AI4*AI29</f>
        <v>0</v>
      </c>
      <c r="AJ34" s="41"/>
      <c r="AK34" s="93">
        <f t="shared" si="160"/>
        <v>0</v>
      </c>
      <c r="AL34" s="55">
        <f>AL4*AL29</f>
        <v>0</v>
      </c>
      <c r="AM34" s="41"/>
      <c r="AN34" s="93">
        <f t="shared" si="161"/>
        <v>0</v>
      </c>
      <c r="AO34" s="64"/>
      <c r="AU34" s="1"/>
      <c r="AV34" s="101"/>
      <c r="AW34" s="1">
        <f>D53</f>
        <v>0</v>
      </c>
      <c r="AX34" s="1">
        <f>E53</f>
        <v>0</v>
      </c>
      <c r="AY34" s="1">
        <f>H53</f>
        <v>0</v>
      </c>
      <c r="AZ34" s="1">
        <f>K53</f>
        <v>0</v>
      </c>
      <c r="BA34" s="1">
        <f>N53</f>
        <v>0</v>
      </c>
      <c r="BB34" s="1">
        <f>Q53</f>
        <v>0</v>
      </c>
      <c r="BC34" s="1">
        <f>T53</f>
        <v>0</v>
      </c>
      <c r="BD34" s="1">
        <f>W53</f>
        <v>0</v>
      </c>
      <c r="BE34" s="1">
        <f>Z53</f>
        <v>0</v>
      </c>
      <c r="BF34" s="1">
        <f>AC53</f>
        <v>0</v>
      </c>
      <c r="BG34" s="1">
        <f>AF53</f>
        <v>0</v>
      </c>
      <c r="BH34" s="1">
        <f>AI53</f>
        <v>0</v>
      </c>
      <c r="BI34" s="1">
        <f>AL53</f>
        <v>0</v>
      </c>
      <c r="BJ34" s="4" t="s">
        <v>67</v>
      </c>
    </row>
    <row r="35" spans="1:62" s="4" customFormat="1" hidden="1" x14ac:dyDescent="0.2">
      <c r="A35" s="2"/>
      <c r="B35" s="1" t="s">
        <v>75</v>
      </c>
      <c r="C35" s="1"/>
      <c r="D35" s="42"/>
      <c r="E35" s="56">
        <f>E26</f>
        <v>0</v>
      </c>
      <c r="F35" s="42"/>
      <c r="G35" s="93">
        <f t="shared" si="150"/>
        <v>0</v>
      </c>
      <c r="H35" s="56">
        <f>H26</f>
        <v>0</v>
      </c>
      <c r="I35" s="42"/>
      <c r="J35" s="93">
        <f t="shared" si="151"/>
        <v>0</v>
      </c>
      <c r="K35" s="56">
        <f>K26</f>
        <v>0</v>
      </c>
      <c r="L35" s="42"/>
      <c r="M35" s="93">
        <f t="shared" si="152"/>
        <v>0</v>
      </c>
      <c r="N35" s="56">
        <f>N26</f>
        <v>0</v>
      </c>
      <c r="O35" s="42"/>
      <c r="P35" s="93">
        <f t="shared" si="153"/>
        <v>0</v>
      </c>
      <c r="Q35" s="56">
        <f>Q26</f>
        <v>0</v>
      </c>
      <c r="R35" s="42"/>
      <c r="S35" s="93">
        <f t="shared" si="154"/>
        <v>0</v>
      </c>
      <c r="T35" s="56">
        <f>T26</f>
        <v>0</v>
      </c>
      <c r="U35" s="42"/>
      <c r="V35" s="93">
        <f t="shared" si="155"/>
        <v>0</v>
      </c>
      <c r="W35" s="56">
        <f>W26</f>
        <v>0</v>
      </c>
      <c r="X35" s="42"/>
      <c r="Y35" s="93">
        <f t="shared" si="156"/>
        <v>0</v>
      </c>
      <c r="Z35" s="56">
        <f>Z26</f>
        <v>0</v>
      </c>
      <c r="AA35" s="42"/>
      <c r="AB35" s="93">
        <f t="shared" si="157"/>
        <v>0</v>
      </c>
      <c r="AC35" s="56">
        <f>AC26</f>
        <v>0</v>
      </c>
      <c r="AD35" s="42"/>
      <c r="AE35" s="93">
        <f t="shared" si="158"/>
        <v>0</v>
      </c>
      <c r="AF35" s="56">
        <f>AF26</f>
        <v>0</v>
      </c>
      <c r="AG35" s="42"/>
      <c r="AH35" s="93">
        <f t="shared" si="159"/>
        <v>0</v>
      </c>
      <c r="AI35" s="56">
        <f>AI26</f>
        <v>0</v>
      </c>
      <c r="AJ35" s="42"/>
      <c r="AK35" s="93">
        <f t="shared" si="160"/>
        <v>0</v>
      </c>
      <c r="AL35" s="56">
        <f>AL26</f>
        <v>0</v>
      </c>
      <c r="AM35" s="42"/>
      <c r="AN35" s="93">
        <f t="shared" si="161"/>
        <v>0</v>
      </c>
      <c r="AO35" s="53"/>
      <c r="AP35" s="1"/>
      <c r="AQ35" s="1"/>
      <c r="AU35" s="1"/>
    </row>
    <row r="36" spans="1:62" s="5" customFormat="1" hidden="1" x14ac:dyDescent="0.2">
      <c r="A36" s="2"/>
      <c r="B36" s="3" t="s">
        <v>76</v>
      </c>
      <c r="C36" s="3"/>
      <c r="D36" s="53">
        <f t="shared" ref="D36:AN36" si="162">SUM(D33:D35)</f>
        <v>0</v>
      </c>
      <c r="E36" s="57">
        <f t="shared" si="162"/>
        <v>0</v>
      </c>
      <c r="F36" s="3">
        <f t="shared" si="162"/>
        <v>0</v>
      </c>
      <c r="G36" s="94">
        <f t="shared" si="162"/>
        <v>0</v>
      </c>
      <c r="H36" s="57">
        <f t="shared" si="162"/>
        <v>0</v>
      </c>
      <c r="I36" s="3">
        <f t="shared" si="162"/>
        <v>0</v>
      </c>
      <c r="J36" s="94">
        <f t="shared" si="162"/>
        <v>0</v>
      </c>
      <c r="K36" s="57">
        <f t="shared" si="162"/>
        <v>0</v>
      </c>
      <c r="L36" s="3">
        <f t="shared" si="162"/>
        <v>0</v>
      </c>
      <c r="M36" s="94">
        <f t="shared" si="162"/>
        <v>0</v>
      </c>
      <c r="N36" s="57">
        <f t="shared" si="162"/>
        <v>0</v>
      </c>
      <c r="O36" s="3">
        <f t="shared" si="162"/>
        <v>0</v>
      </c>
      <c r="P36" s="94">
        <f t="shared" si="162"/>
        <v>0</v>
      </c>
      <c r="Q36" s="57">
        <f t="shared" si="162"/>
        <v>0</v>
      </c>
      <c r="R36" s="3">
        <f t="shared" si="162"/>
        <v>0</v>
      </c>
      <c r="S36" s="94">
        <f t="shared" si="162"/>
        <v>0</v>
      </c>
      <c r="T36" s="57">
        <f t="shared" si="162"/>
        <v>0</v>
      </c>
      <c r="U36" s="3">
        <f t="shared" si="162"/>
        <v>0</v>
      </c>
      <c r="V36" s="94">
        <f t="shared" si="162"/>
        <v>0</v>
      </c>
      <c r="W36" s="57">
        <f t="shared" si="162"/>
        <v>0</v>
      </c>
      <c r="X36" s="3">
        <f t="shared" si="162"/>
        <v>0</v>
      </c>
      <c r="Y36" s="94">
        <f t="shared" si="162"/>
        <v>0</v>
      </c>
      <c r="Z36" s="57">
        <f t="shared" si="162"/>
        <v>0</v>
      </c>
      <c r="AA36" s="3">
        <f t="shared" si="162"/>
        <v>0</v>
      </c>
      <c r="AB36" s="94">
        <f t="shared" si="162"/>
        <v>0</v>
      </c>
      <c r="AC36" s="57">
        <f t="shared" si="162"/>
        <v>0</v>
      </c>
      <c r="AD36" s="3">
        <f t="shared" si="162"/>
        <v>0</v>
      </c>
      <c r="AE36" s="94">
        <f t="shared" si="162"/>
        <v>0</v>
      </c>
      <c r="AF36" s="57">
        <f t="shared" si="162"/>
        <v>0</v>
      </c>
      <c r="AG36" s="3">
        <f t="shared" si="162"/>
        <v>0</v>
      </c>
      <c r="AH36" s="94">
        <f t="shared" si="162"/>
        <v>0</v>
      </c>
      <c r="AI36" s="57">
        <f t="shared" si="162"/>
        <v>0</v>
      </c>
      <c r="AJ36" s="3">
        <f>SUM(AJ33:AJ35)</f>
        <v>0</v>
      </c>
      <c r="AK36" s="94">
        <f t="shared" si="162"/>
        <v>0</v>
      </c>
      <c r="AL36" s="57">
        <f t="shared" si="162"/>
        <v>0</v>
      </c>
      <c r="AM36" s="3">
        <f t="shared" si="162"/>
        <v>0</v>
      </c>
      <c r="AN36" s="94">
        <f t="shared" si="162"/>
        <v>0</v>
      </c>
      <c r="AO36" s="53"/>
      <c r="AP36" s="3"/>
      <c r="AQ36" s="3"/>
      <c r="AU36" s="3"/>
    </row>
    <row r="37" spans="1:62" s="4" customFormat="1" hidden="1" x14ac:dyDescent="0.2">
      <c r="A37" s="2"/>
      <c r="B37" s="1" t="s">
        <v>77</v>
      </c>
      <c r="C37" s="1"/>
      <c r="D37" s="54"/>
      <c r="E37" s="63">
        <f>E15+E19+D37</f>
        <v>0</v>
      </c>
      <c r="F37" s="42"/>
      <c r="G37" s="93">
        <f t="shared" si="150"/>
        <v>0</v>
      </c>
      <c r="H37" s="63">
        <f>E37-H15-H19</f>
        <v>0</v>
      </c>
      <c r="I37" s="42"/>
      <c r="J37" s="93">
        <f t="shared" si="151"/>
        <v>0</v>
      </c>
      <c r="K37" s="63">
        <f>H37-K15-K19</f>
        <v>0</v>
      </c>
      <c r="L37" s="42"/>
      <c r="M37" s="93">
        <f t="shared" si="152"/>
        <v>0</v>
      </c>
      <c r="N37" s="63">
        <f>K37-N15-N19</f>
        <v>0</v>
      </c>
      <c r="O37" s="42"/>
      <c r="P37" s="93">
        <f t="shared" si="153"/>
        <v>0</v>
      </c>
      <c r="Q37" s="63">
        <f>N37-Q15-Q19</f>
        <v>0</v>
      </c>
      <c r="R37" s="42"/>
      <c r="S37" s="93">
        <f t="shared" si="154"/>
        <v>0</v>
      </c>
      <c r="T37" s="63">
        <f>Q37-T15-T19</f>
        <v>0</v>
      </c>
      <c r="U37" s="42"/>
      <c r="V37" s="93">
        <f t="shared" si="155"/>
        <v>0</v>
      </c>
      <c r="W37" s="63">
        <f>T37-W15-W19</f>
        <v>0</v>
      </c>
      <c r="X37" s="42"/>
      <c r="Y37" s="93">
        <f t="shared" si="156"/>
        <v>0</v>
      </c>
      <c r="Z37" s="63">
        <f>W37-Z15-Z19</f>
        <v>0</v>
      </c>
      <c r="AA37" s="42"/>
      <c r="AB37" s="93">
        <f t="shared" si="157"/>
        <v>0</v>
      </c>
      <c r="AC37" s="63">
        <f>Z37-AC15-AC19</f>
        <v>0</v>
      </c>
      <c r="AD37" s="42"/>
      <c r="AE37" s="93">
        <f t="shared" si="158"/>
        <v>0</v>
      </c>
      <c r="AF37" s="63">
        <f>AC37-AF15-AF19</f>
        <v>0</v>
      </c>
      <c r="AG37" s="42"/>
      <c r="AH37" s="93">
        <f t="shared" si="159"/>
        <v>0</v>
      </c>
      <c r="AI37" s="63">
        <f>AF37-AI15-AI19</f>
        <v>0</v>
      </c>
      <c r="AJ37" s="42"/>
      <c r="AK37" s="93">
        <f t="shared" si="160"/>
        <v>0</v>
      </c>
      <c r="AL37" s="63">
        <f>AI37-AL15-AL19</f>
        <v>0</v>
      </c>
      <c r="AM37" s="42"/>
      <c r="AN37" s="93">
        <f t="shared" si="161"/>
        <v>0</v>
      </c>
      <c r="AO37" s="53"/>
      <c r="AP37" s="1"/>
      <c r="AQ37" s="1"/>
      <c r="AU37" s="1"/>
    </row>
    <row r="38" spans="1:62" s="4" customFormat="1" hidden="1" x14ac:dyDescent="0.2">
      <c r="A38" s="2"/>
      <c r="B38" s="1" t="s">
        <v>106</v>
      </c>
      <c r="C38" s="1"/>
      <c r="D38" s="54"/>
      <c r="E38" s="61"/>
      <c r="F38" s="95"/>
      <c r="G38" s="96">
        <f t="shared" si="150"/>
        <v>0</v>
      </c>
      <c r="H38" s="97"/>
      <c r="I38" s="95"/>
      <c r="J38" s="96">
        <f t="shared" si="151"/>
        <v>0</v>
      </c>
      <c r="K38" s="97"/>
      <c r="L38" s="95"/>
      <c r="M38" s="96">
        <f t="shared" si="152"/>
        <v>0</v>
      </c>
      <c r="N38" s="97"/>
      <c r="O38" s="95"/>
      <c r="P38" s="96">
        <f t="shared" si="153"/>
        <v>0</v>
      </c>
      <c r="Q38" s="97"/>
      <c r="R38" s="95"/>
      <c r="S38" s="96">
        <f t="shared" si="154"/>
        <v>0</v>
      </c>
      <c r="T38" s="97"/>
      <c r="U38" s="95"/>
      <c r="V38" s="96">
        <f t="shared" si="155"/>
        <v>0</v>
      </c>
      <c r="W38" s="97"/>
      <c r="X38" s="95"/>
      <c r="Y38" s="96">
        <f t="shared" si="156"/>
        <v>0</v>
      </c>
      <c r="Z38" s="97"/>
      <c r="AA38" s="95"/>
      <c r="AB38" s="93">
        <f t="shared" si="157"/>
        <v>0</v>
      </c>
      <c r="AC38" s="61"/>
      <c r="AD38" s="95"/>
      <c r="AE38" s="93">
        <f t="shared" si="158"/>
        <v>0</v>
      </c>
      <c r="AF38" s="61"/>
      <c r="AG38" s="95"/>
      <c r="AH38" s="93">
        <f t="shared" si="159"/>
        <v>0</v>
      </c>
      <c r="AI38" s="61"/>
      <c r="AJ38" s="42"/>
      <c r="AK38" s="93">
        <f t="shared" si="160"/>
        <v>0</v>
      </c>
      <c r="AL38" s="61"/>
      <c r="AM38" s="42"/>
      <c r="AN38" s="93">
        <f t="shared" si="161"/>
        <v>0</v>
      </c>
      <c r="AO38" s="53"/>
      <c r="AP38" s="1"/>
      <c r="AQ38" s="1"/>
      <c r="AU38" s="1"/>
    </row>
    <row r="39" spans="1:62" s="4" customFormat="1" hidden="1" x14ac:dyDescent="0.2">
      <c r="A39" s="2"/>
      <c r="B39" s="1" t="s">
        <v>78</v>
      </c>
      <c r="C39" s="1"/>
      <c r="D39" s="42"/>
      <c r="E39" s="61"/>
      <c r="F39" s="42"/>
      <c r="G39" s="93">
        <f t="shared" si="150"/>
        <v>0</v>
      </c>
      <c r="H39" s="61"/>
      <c r="I39" s="42"/>
      <c r="J39" s="93">
        <f t="shared" si="151"/>
        <v>0</v>
      </c>
      <c r="K39" s="61"/>
      <c r="L39" s="42"/>
      <c r="M39" s="93">
        <f t="shared" si="152"/>
        <v>0</v>
      </c>
      <c r="N39" s="61"/>
      <c r="O39" s="42"/>
      <c r="P39" s="93">
        <f t="shared" si="153"/>
        <v>0</v>
      </c>
      <c r="Q39" s="61"/>
      <c r="R39" s="42"/>
      <c r="S39" s="93">
        <f t="shared" si="154"/>
        <v>0</v>
      </c>
      <c r="T39" s="61"/>
      <c r="U39" s="42"/>
      <c r="V39" s="93">
        <f t="shared" si="155"/>
        <v>0</v>
      </c>
      <c r="W39" s="61"/>
      <c r="X39" s="42"/>
      <c r="Y39" s="93">
        <f t="shared" si="156"/>
        <v>0</v>
      </c>
      <c r="Z39" s="61"/>
      <c r="AA39" s="42"/>
      <c r="AB39" s="93">
        <f t="shared" si="157"/>
        <v>0</v>
      </c>
      <c r="AC39" s="61"/>
      <c r="AD39" s="42"/>
      <c r="AE39" s="93">
        <f t="shared" si="158"/>
        <v>0</v>
      </c>
      <c r="AF39" s="61"/>
      <c r="AG39" s="42"/>
      <c r="AH39" s="93">
        <f t="shared" si="159"/>
        <v>0</v>
      </c>
      <c r="AI39" s="61"/>
      <c r="AJ39" s="42"/>
      <c r="AK39" s="93">
        <f t="shared" si="160"/>
        <v>0</v>
      </c>
      <c r="AL39" s="61"/>
      <c r="AM39" s="42"/>
      <c r="AN39" s="93">
        <f t="shared" si="161"/>
        <v>0</v>
      </c>
      <c r="AO39" s="53"/>
      <c r="AP39" s="1"/>
      <c r="AQ39" s="1"/>
      <c r="AU39" s="1"/>
      <c r="AW39" s="1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</row>
    <row r="40" spans="1:62" s="4" customFormat="1" hidden="1" x14ac:dyDescent="0.2">
      <c r="A40" s="2"/>
      <c r="B40" s="4" t="s">
        <v>79</v>
      </c>
      <c r="C40" s="1"/>
      <c r="D40" s="42"/>
      <c r="E40" s="61"/>
      <c r="F40" s="42"/>
      <c r="G40" s="93">
        <f t="shared" si="150"/>
        <v>0</v>
      </c>
      <c r="H40" s="61">
        <f>SUM(H9:H13)*H30</f>
        <v>0</v>
      </c>
      <c r="I40" s="42"/>
      <c r="J40" s="93">
        <f t="shared" si="151"/>
        <v>0</v>
      </c>
      <c r="K40" s="61">
        <f>SUM(K9:K13)*K30</f>
        <v>0</v>
      </c>
      <c r="L40" s="42"/>
      <c r="M40" s="93">
        <f t="shared" si="152"/>
        <v>0</v>
      </c>
      <c r="N40" s="61"/>
      <c r="O40" s="42"/>
      <c r="P40" s="93">
        <f t="shared" si="153"/>
        <v>0</v>
      </c>
      <c r="Q40" s="61"/>
      <c r="R40" s="42"/>
      <c r="S40" s="93">
        <f t="shared" si="154"/>
        <v>0</v>
      </c>
      <c r="T40" s="61"/>
      <c r="U40" s="42"/>
      <c r="V40" s="93">
        <f t="shared" si="155"/>
        <v>0</v>
      </c>
      <c r="W40" s="61"/>
      <c r="X40" s="42"/>
      <c r="Y40" s="93">
        <f t="shared" si="156"/>
        <v>0</v>
      </c>
      <c r="Z40" s="61"/>
      <c r="AA40" s="42"/>
      <c r="AB40" s="93">
        <f t="shared" si="157"/>
        <v>0</v>
      </c>
      <c r="AC40" s="61"/>
      <c r="AD40" s="42"/>
      <c r="AE40" s="93">
        <f t="shared" si="158"/>
        <v>0</v>
      </c>
      <c r="AF40" s="61"/>
      <c r="AG40" s="42"/>
      <c r="AH40" s="93">
        <f t="shared" si="159"/>
        <v>0</v>
      </c>
      <c r="AI40" s="61">
        <f>SUM(AI9:AI13)*AI30</f>
        <v>0</v>
      </c>
      <c r="AJ40" s="42"/>
      <c r="AK40" s="93">
        <f t="shared" si="160"/>
        <v>0</v>
      </c>
      <c r="AL40" s="61">
        <f>SUM(AL9:AL13)*AL30</f>
        <v>0</v>
      </c>
      <c r="AM40" s="42"/>
      <c r="AN40" s="93">
        <f t="shared" si="161"/>
        <v>0</v>
      </c>
      <c r="AO40" s="53"/>
      <c r="AP40" s="1"/>
      <c r="AQ40" s="1"/>
      <c r="AU40" s="1"/>
      <c r="AW40" s="1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</row>
    <row r="41" spans="1:62" s="4" customFormat="1" hidden="1" x14ac:dyDescent="0.2">
      <c r="A41" s="2"/>
      <c r="B41" s="4" t="s">
        <v>80</v>
      </c>
      <c r="C41" s="1"/>
      <c r="D41" s="54"/>
      <c r="E41" s="61"/>
      <c r="F41" s="42"/>
      <c r="G41" s="93">
        <f t="shared" si="150"/>
        <v>0</v>
      </c>
      <c r="H41" s="61">
        <f>H48</f>
        <v>0</v>
      </c>
      <c r="I41" s="42"/>
      <c r="J41" s="93">
        <f t="shared" si="151"/>
        <v>0</v>
      </c>
      <c r="K41" s="61">
        <f>K48</f>
        <v>0</v>
      </c>
      <c r="L41" s="42"/>
      <c r="M41" s="93">
        <f t="shared" si="152"/>
        <v>0</v>
      </c>
      <c r="N41" s="61"/>
      <c r="O41" s="42"/>
      <c r="P41" s="93">
        <f t="shared" si="153"/>
        <v>0</v>
      </c>
      <c r="Q41" s="61"/>
      <c r="R41" s="42"/>
      <c r="S41" s="93">
        <f t="shared" si="154"/>
        <v>0</v>
      </c>
      <c r="T41" s="61"/>
      <c r="U41" s="42"/>
      <c r="V41" s="93">
        <f t="shared" si="155"/>
        <v>0</v>
      </c>
      <c r="W41" s="61"/>
      <c r="X41" s="42"/>
      <c r="Y41" s="93">
        <f t="shared" si="156"/>
        <v>0</v>
      </c>
      <c r="Z41" s="61"/>
      <c r="AA41" s="42"/>
      <c r="AB41" s="93">
        <f t="shared" si="157"/>
        <v>0</v>
      </c>
      <c r="AC41" s="61"/>
      <c r="AD41" s="42"/>
      <c r="AE41" s="93">
        <f t="shared" si="158"/>
        <v>0</v>
      </c>
      <c r="AF41" s="61"/>
      <c r="AG41" s="42"/>
      <c r="AH41" s="93">
        <f t="shared" si="159"/>
        <v>0</v>
      </c>
      <c r="AI41" s="61">
        <f>AI48</f>
        <v>0</v>
      </c>
      <c r="AJ41" s="42"/>
      <c r="AK41" s="93">
        <f t="shared" si="160"/>
        <v>0</v>
      </c>
      <c r="AL41" s="61">
        <f>AL48</f>
        <v>0</v>
      </c>
      <c r="AM41" s="42"/>
      <c r="AN41" s="93">
        <f t="shared" si="161"/>
        <v>0</v>
      </c>
      <c r="AO41" s="53"/>
      <c r="AP41" s="1"/>
      <c r="AQ41" s="1"/>
      <c r="AU41" s="1"/>
      <c r="AW41" s="1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</row>
    <row r="42" spans="1:62" s="4" customFormat="1" hidden="1" x14ac:dyDescent="0.2">
      <c r="A42" s="2"/>
      <c r="B42" s="4" t="s">
        <v>81</v>
      </c>
      <c r="C42" s="1"/>
      <c r="D42" s="54"/>
      <c r="E42" s="61"/>
      <c r="F42" s="42"/>
      <c r="G42" s="93">
        <f t="shared" si="150"/>
        <v>0</v>
      </c>
      <c r="H42" s="61"/>
      <c r="I42" s="42"/>
      <c r="J42" s="93">
        <f t="shared" si="151"/>
        <v>0</v>
      </c>
      <c r="K42" s="61"/>
      <c r="L42" s="42"/>
      <c r="M42" s="93">
        <f t="shared" si="152"/>
        <v>0</v>
      </c>
      <c r="N42" s="61"/>
      <c r="O42" s="42"/>
      <c r="P42" s="93">
        <f t="shared" si="153"/>
        <v>0</v>
      </c>
      <c r="Q42" s="61"/>
      <c r="R42" s="42"/>
      <c r="S42" s="93">
        <f t="shared" si="154"/>
        <v>0</v>
      </c>
      <c r="T42" s="61"/>
      <c r="U42" s="42"/>
      <c r="V42" s="93">
        <f t="shared" si="155"/>
        <v>0</v>
      </c>
      <c r="W42" s="61"/>
      <c r="X42" s="42"/>
      <c r="Y42" s="93">
        <f t="shared" si="156"/>
        <v>0</v>
      </c>
      <c r="Z42" s="61"/>
      <c r="AA42" s="42"/>
      <c r="AB42" s="93">
        <f t="shared" si="157"/>
        <v>0</v>
      </c>
      <c r="AC42" s="61"/>
      <c r="AD42" s="42"/>
      <c r="AE42" s="93">
        <f t="shared" si="158"/>
        <v>0</v>
      </c>
      <c r="AF42" s="61"/>
      <c r="AG42" s="42"/>
      <c r="AH42" s="93">
        <f t="shared" si="159"/>
        <v>0</v>
      </c>
      <c r="AI42" s="61"/>
      <c r="AJ42" s="42"/>
      <c r="AK42" s="93">
        <f t="shared" si="160"/>
        <v>0</v>
      </c>
      <c r="AL42" s="61"/>
      <c r="AM42" s="42"/>
      <c r="AN42" s="93">
        <f t="shared" si="161"/>
        <v>0</v>
      </c>
      <c r="AO42" s="53"/>
      <c r="AP42" s="1"/>
      <c r="AQ42" s="1"/>
      <c r="AU42" s="1"/>
      <c r="AW42" s="1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</row>
    <row r="43" spans="1:62" s="5" customFormat="1" hidden="1" x14ac:dyDescent="0.2">
      <c r="A43" s="9"/>
      <c r="B43" s="5" t="s">
        <v>82</v>
      </c>
      <c r="C43" s="3"/>
      <c r="D43" s="60">
        <f>SUM(D37:D42)</f>
        <v>0</v>
      </c>
      <c r="E43" s="58">
        <f>SUM(E37:E42)-E38</f>
        <v>0</v>
      </c>
      <c r="F43" s="59">
        <f>SUM(F37:F42)-F38</f>
        <v>0</v>
      </c>
      <c r="G43" s="60">
        <f t="shared" si="150"/>
        <v>0</v>
      </c>
      <c r="H43" s="58">
        <f>SUM(H37:H42)-H38</f>
        <v>0</v>
      </c>
      <c r="I43" s="59">
        <f>SUM(I37:I42)-I38</f>
        <v>0</v>
      </c>
      <c r="J43" s="60"/>
      <c r="K43" s="58">
        <f>SUM(K37:K42)-K38</f>
        <v>0</v>
      </c>
      <c r="L43" s="59">
        <f>SUM(L37:L42)-L38</f>
        <v>0</v>
      </c>
      <c r="M43" s="60"/>
      <c r="N43" s="58">
        <f>SUM(N37:N42)-N38</f>
        <v>0</v>
      </c>
      <c r="O43" s="59">
        <f>SUM(O37:O42)-O38</f>
        <v>0</v>
      </c>
      <c r="P43" s="60"/>
      <c r="Q43" s="58">
        <f>SUM(Q37:Q42)-Q38</f>
        <v>0</v>
      </c>
      <c r="R43" s="59">
        <f>SUM(R37:R42)-R38</f>
        <v>0</v>
      </c>
      <c r="S43" s="60"/>
      <c r="T43" s="58">
        <f>SUM(T37:T42)-T38</f>
        <v>0</v>
      </c>
      <c r="U43" s="59">
        <f>SUM(U37:U42)-U38</f>
        <v>0</v>
      </c>
      <c r="V43" s="60"/>
      <c r="W43" s="58">
        <f>SUM(W37:W42)-W38</f>
        <v>0</v>
      </c>
      <c r="X43" s="59">
        <f>SUM(X37:X42)-X38</f>
        <v>0</v>
      </c>
      <c r="Y43" s="60"/>
      <c r="Z43" s="58">
        <f>SUM(Z37:Z42)-Z38</f>
        <v>0</v>
      </c>
      <c r="AA43" s="59">
        <f>SUM(AA37:AA42)-AA38</f>
        <v>0</v>
      </c>
      <c r="AB43" s="60"/>
      <c r="AC43" s="58">
        <f>SUM(AC37:AC42)-AC38</f>
        <v>0</v>
      </c>
      <c r="AD43" s="59">
        <f>SUM(AD37:AD42)-AD38</f>
        <v>0</v>
      </c>
      <c r="AE43" s="60"/>
      <c r="AF43" s="58">
        <f>SUM(AF37:AF42)-AF38</f>
        <v>0</v>
      </c>
      <c r="AG43" s="59">
        <f>SUM(AG37:AG42)-AG38</f>
        <v>0</v>
      </c>
      <c r="AH43" s="60"/>
      <c r="AI43" s="58">
        <f>SUM(AI37:AI42)-AI38</f>
        <v>0</v>
      </c>
      <c r="AJ43" s="59">
        <f>SUM(AJ37:AJ42)-AJ38</f>
        <v>0</v>
      </c>
      <c r="AK43" s="60"/>
      <c r="AL43" s="58">
        <f>SUM(AL37:AL42)-AL38</f>
        <v>0</v>
      </c>
      <c r="AM43" s="59">
        <f>SUM(AM37:AM42)-AM38</f>
        <v>0</v>
      </c>
      <c r="AN43" s="60">
        <f>SUM(AN40:AN42)</f>
        <v>0</v>
      </c>
      <c r="AO43" s="53"/>
      <c r="AP43" s="3"/>
      <c r="AQ43" s="3"/>
      <c r="AU43" s="3"/>
      <c r="AW43" s="3"/>
      <c r="AX43" s="49"/>
      <c r="AY43" s="49"/>
      <c r="AZ43" s="49"/>
      <c r="BA43" s="49"/>
      <c r="BB43" s="49"/>
      <c r="BC43" s="49"/>
      <c r="BD43" s="49"/>
      <c r="BE43" s="49"/>
      <c r="BF43" s="49"/>
      <c r="BG43" s="49"/>
      <c r="BH43" s="49"/>
      <c r="BI43" s="49"/>
    </row>
    <row r="44" spans="1:62" hidden="1" x14ac:dyDescent="0.2">
      <c r="B44" s="2" t="s">
        <v>4</v>
      </c>
      <c r="F44" s="50">
        <f>(F36+F43)*-1</f>
        <v>0</v>
      </c>
      <c r="G44" s="50"/>
      <c r="H44" s="50"/>
      <c r="I44" s="50">
        <f>(I36+I43)*-1</f>
        <v>0</v>
      </c>
      <c r="J44" s="50"/>
      <c r="K44" s="50"/>
      <c r="L44" s="50">
        <f>(L36+L43)*-1</f>
        <v>0</v>
      </c>
      <c r="M44" s="50"/>
      <c r="N44" s="50"/>
      <c r="O44" s="50">
        <f>(O36+O43)*-1</f>
        <v>0</v>
      </c>
      <c r="P44" s="50"/>
      <c r="Q44" s="50"/>
      <c r="R44" s="50">
        <f>(R36+R43)*-1</f>
        <v>0</v>
      </c>
      <c r="S44" s="50"/>
      <c r="T44" s="50"/>
      <c r="U44" s="50">
        <f>(U36+U43)*-1</f>
        <v>0</v>
      </c>
      <c r="V44" s="50"/>
      <c r="W44" s="50"/>
      <c r="X44" s="50">
        <f>(X36+X43)*-1</f>
        <v>0</v>
      </c>
      <c r="Y44" s="50"/>
      <c r="Z44" s="50"/>
      <c r="AA44" s="50">
        <f>(AA36+AA43)*-1</f>
        <v>0</v>
      </c>
      <c r="AB44" s="50"/>
      <c r="AC44" s="50"/>
      <c r="AD44" s="50">
        <f>(AD36+AD43)*-1</f>
        <v>0</v>
      </c>
      <c r="AE44" s="50"/>
      <c r="AF44" s="50"/>
      <c r="AG44" s="50">
        <f>(AG36+AG43)*-1</f>
        <v>0</v>
      </c>
      <c r="AH44" s="50"/>
      <c r="AI44" s="50"/>
      <c r="AJ44" s="50">
        <f>(AJ36+AJ43)*-1</f>
        <v>0</v>
      </c>
      <c r="AK44" s="50"/>
      <c r="AL44" s="50"/>
      <c r="AM44" s="50">
        <f>(AM36+AM43)*-1</f>
        <v>0</v>
      </c>
    </row>
    <row r="45" spans="1:62" hidden="1" x14ac:dyDescent="0.2">
      <c r="B45" s="9" t="s">
        <v>68</v>
      </c>
      <c r="C45" s="1" t="s">
        <v>51</v>
      </c>
      <c r="E45" s="30">
        <f>SUMIF($D4:$D25,"Moms",E4:E25)</f>
        <v>0</v>
      </c>
      <c r="H45" s="30">
        <f>SUMIF($D4:$D25,"Moms",H4:H25)</f>
        <v>0</v>
      </c>
      <c r="K45" s="30">
        <f>SUMIF($D4:$D25,"Moms",K4:K25)</f>
        <v>0</v>
      </c>
      <c r="N45" s="30">
        <f>SUMIF($D4:$D25,"Moms",N4:N25)</f>
        <v>0</v>
      </c>
      <c r="Q45" s="30">
        <f>SUMIF($D4:$D25,"Moms",Q4:Q25)</f>
        <v>0</v>
      </c>
      <c r="T45" s="30">
        <f>SUMIF($D4:$D25,"Moms",T4:T25)</f>
        <v>0</v>
      </c>
      <c r="W45" s="30">
        <f>SUMIF($D4:$D25,"Moms",W4:W25)</f>
        <v>0</v>
      </c>
      <c r="Z45" s="30">
        <f>SUMIF($D4:$D25,"Moms",Z4:Z25)</f>
        <v>0</v>
      </c>
      <c r="AC45" s="30">
        <f>SUMIF($D4:$D25,"Moms",AC4:AC25)</f>
        <v>0</v>
      </c>
      <c r="AF45" s="30">
        <f>SUMIF($D4:$D25,"Moms",AF4:AF25)</f>
        <v>0</v>
      </c>
      <c r="AI45" s="30">
        <f>SUMIF($D4:$D25,"Moms",AI4:AI25)</f>
        <v>0</v>
      </c>
      <c r="AL45" s="30">
        <f>SUMIF($D4:$D25,"Moms",AL4:AL25)</f>
        <v>0</v>
      </c>
    </row>
    <row r="46" spans="1:62" hidden="1" x14ac:dyDescent="0.2">
      <c r="C46" s="1" t="s">
        <v>52</v>
      </c>
      <c r="E46" s="1">
        <f>E45*0.25</f>
        <v>0</v>
      </c>
      <c r="H46" s="1">
        <f>H45*0.25</f>
        <v>0</v>
      </c>
      <c r="K46" s="1">
        <f>K45*0.25</f>
        <v>0</v>
      </c>
      <c r="N46" s="1">
        <f>N45*0.25</f>
        <v>0</v>
      </c>
      <c r="Q46" s="1">
        <f>Q45*0.25</f>
        <v>0</v>
      </c>
      <c r="T46" s="1">
        <f>T45*0.25</f>
        <v>0</v>
      </c>
      <c r="W46" s="1">
        <f>W45*0.25</f>
        <v>0</v>
      </c>
      <c r="Z46" s="1">
        <f>Z45*0.25</f>
        <v>0</v>
      </c>
      <c r="AC46" s="1">
        <f>AC45*0.25</f>
        <v>0</v>
      </c>
      <c r="AF46" s="1">
        <f>AF45*0.25</f>
        <v>0</v>
      </c>
      <c r="AI46" s="1">
        <f>AI45*0.25</f>
        <v>0</v>
      </c>
      <c r="AL46" s="1">
        <f>AL45*0.25</f>
        <v>0</v>
      </c>
      <c r="AO46" s="3" t="s">
        <v>53</v>
      </c>
    </row>
    <row r="47" spans="1:62" hidden="1" x14ac:dyDescent="0.2">
      <c r="C47" s="1" t="s">
        <v>63</v>
      </c>
      <c r="J47" s="33" t="s">
        <v>58</v>
      </c>
      <c r="K47" s="38">
        <f>D48</f>
        <v>0</v>
      </c>
      <c r="S47" s="33" t="s">
        <v>57</v>
      </c>
      <c r="T47" s="38">
        <f>SUM(E46:K46)*-1</f>
        <v>0</v>
      </c>
      <c r="AB47" s="33" t="s">
        <v>54</v>
      </c>
      <c r="AC47" s="38">
        <f>SUM(N46:T46)*-1</f>
        <v>0</v>
      </c>
      <c r="AK47" s="33" t="s">
        <v>55</v>
      </c>
      <c r="AL47" s="38">
        <f>SUM(W46:AC46)*-1</f>
        <v>0</v>
      </c>
      <c r="AN47" s="1" t="s">
        <v>56</v>
      </c>
      <c r="AO47" s="38">
        <f>SUM(AF46:AL46)*-1</f>
        <v>0</v>
      </c>
    </row>
    <row r="48" spans="1:62" hidden="1" x14ac:dyDescent="0.2">
      <c r="C48" s="1" t="s">
        <v>62</v>
      </c>
      <c r="D48" s="1">
        <f>D41</f>
        <v>0</v>
      </c>
      <c r="E48" s="1">
        <f>D48-E46</f>
        <v>0</v>
      </c>
      <c r="H48" s="1">
        <f>E48-H46</f>
        <v>0</v>
      </c>
      <c r="K48" s="1">
        <f>H48-K46-K47</f>
        <v>0</v>
      </c>
      <c r="N48" s="1">
        <f>K48-N46-N47</f>
        <v>0</v>
      </c>
      <c r="Q48" s="1">
        <f>N48-Q46-Q47</f>
        <v>0</v>
      </c>
      <c r="T48" s="1">
        <f>Q48-T46-T47</f>
        <v>0</v>
      </c>
      <c r="W48" s="1">
        <f>T48-W46-W47</f>
        <v>0</v>
      </c>
      <c r="Z48" s="1">
        <f>W48-Z46-Z47</f>
        <v>0</v>
      </c>
      <c r="AC48" s="1">
        <f>Z48-AC46-AC47</f>
        <v>0</v>
      </c>
      <c r="AD48" s="33"/>
      <c r="AE48" s="33"/>
      <c r="AF48" s="1">
        <f>AC48-AF46-AF47</f>
        <v>0</v>
      </c>
      <c r="AG48" s="33"/>
      <c r="AH48" s="33"/>
      <c r="AI48" s="1">
        <f>AF48-AI46-AI47</f>
        <v>0</v>
      </c>
      <c r="AJ48" s="33"/>
      <c r="AK48" s="33"/>
      <c r="AL48" s="1">
        <f>AI48-AL46-AL47</f>
        <v>0</v>
      </c>
      <c r="AM48" s="33"/>
      <c r="AN48" s="33"/>
      <c r="AO48" s="1"/>
    </row>
    <row r="49" spans="2:84" hidden="1" x14ac:dyDescent="0.2">
      <c r="AO49" s="1"/>
    </row>
    <row r="50" spans="2:84" hidden="1" x14ac:dyDescent="0.2">
      <c r="D50" s="4" t="s">
        <v>24</v>
      </c>
      <c r="E50" s="28">
        <v>1</v>
      </c>
      <c r="F50" s="28"/>
      <c r="G50" s="28"/>
      <c r="H50" s="28">
        <v>2</v>
      </c>
      <c r="I50" s="28"/>
      <c r="J50" s="28"/>
      <c r="K50" s="28">
        <v>3</v>
      </c>
      <c r="L50" s="28"/>
      <c r="M50" s="28"/>
      <c r="N50" s="28">
        <v>4</v>
      </c>
      <c r="O50" s="28"/>
      <c r="P50" s="28"/>
      <c r="Q50" s="28">
        <v>5</v>
      </c>
      <c r="R50" s="28"/>
      <c r="S50" s="28"/>
      <c r="T50" s="28">
        <v>6</v>
      </c>
      <c r="U50" s="28"/>
      <c r="V50" s="28"/>
      <c r="W50" s="28">
        <v>7</v>
      </c>
      <c r="X50" s="28"/>
      <c r="Y50" s="28"/>
      <c r="Z50" s="28">
        <v>8</v>
      </c>
      <c r="AA50" s="28"/>
      <c r="AB50" s="28"/>
      <c r="AC50" s="28">
        <v>9</v>
      </c>
      <c r="AD50" s="28"/>
      <c r="AE50" s="28"/>
      <c r="AF50" s="28">
        <v>10</v>
      </c>
      <c r="AG50" s="28"/>
      <c r="AH50" s="28"/>
      <c r="AI50" s="28">
        <v>11</v>
      </c>
      <c r="AJ50" s="28"/>
      <c r="AK50" s="28"/>
      <c r="AL50" s="28">
        <v>12</v>
      </c>
    </row>
    <row r="51" spans="2:84" hidden="1" x14ac:dyDescent="0.2">
      <c r="B51" s="9" t="s">
        <v>69</v>
      </c>
      <c r="C51" s="1" t="s">
        <v>72</v>
      </c>
      <c r="D51" s="27">
        <f>D35</f>
        <v>0</v>
      </c>
      <c r="E51" s="1">
        <f>SUM(F35)</f>
        <v>0</v>
      </c>
      <c r="H51" s="1">
        <f>SUM(I35)</f>
        <v>0</v>
      </c>
      <c r="K51" s="1">
        <f>SUM(L35)</f>
        <v>0</v>
      </c>
      <c r="N51" s="1">
        <f>SUM(O35)</f>
        <v>0</v>
      </c>
      <c r="Q51" s="1">
        <f>SUM(R35)</f>
        <v>0</v>
      </c>
      <c r="T51" s="1">
        <f>SUM(U35)</f>
        <v>0</v>
      </c>
      <c r="W51" s="1">
        <f>SUM(X35)</f>
        <v>0</v>
      </c>
      <c r="Z51" s="1">
        <f>SUM(AA35)</f>
        <v>0</v>
      </c>
      <c r="AC51" s="1">
        <f>SUM(AD35)</f>
        <v>0</v>
      </c>
      <c r="AF51" s="1">
        <f>SUM(AG35)</f>
        <v>0</v>
      </c>
      <c r="AI51" s="1">
        <f>SUM(AJ35)</f>
        <v>0</v>
      </c>
      <c r="AL51" s="1">
        <f>SUM(AM35)</f>
        <v>0</v>
      </c>
    </row>
    <row r="52" spans="2:84" hidden="1" x14ac:dyDescent="0.2">
      <c r="C52" s="4" t="s">
        <v>64</v>
      </c>
      <c r="D52" s="27">
        <f>D51</f>
        <v>0</v>
      </c>
      <c r="E52" s="4">
        <f>D52+E25</f>
        <v>0</v>
      </c>
      <c r="F52" s="4"/>
      <c r="G52" s="4"/>
      <c r="H52" s="4">
        <f>E52+H25</f>
        <v>0</v>
      </c>
      <c r="I52" s="4"/>
      <c r="J52" s="4"/>
      <c r="K52" s="4">
        <f>H52+K25</f>
        <v>0</v>
      </c>
      <c r="L52" s="4"/>
      <c r="M52" s="4"/>
      <c r="N52" s="4">
        <f>K52+N25</f>
        <v>0</v>
      </c>
      <c r="O52" s="4"/>
      <c r="P52" s="4"/>
      <c r="Q52" s="4">
        <f>N52+Q25</f>
        <v>0</v>
      </c>
      <c r="R52" s="4"/>
      <c r="S52" s="4"/>
      <c r="T52" s="4">
        <f>Q52+T25</f>
        <v>0</v>
      </c>
      <c r="U52" s="4"/>
      <c r="V52" s="4"/>
      <c r="W52" s="4">
        <f>T52+W25</f>
        <v>0</v>
      </c>
      <c r="X52" s="4"/>
      <c r="Y52" s="4"/>
      <c r="Z52" s="4">
        <f>W52+Z25</f>
        <v>0</v>
      </c>
      <c r="AA52" s="4"/>
      <c r="AB52" s="4"/>
      <c r="AC52" s="4">
        <f>Z52+AC25</f>
        <v>0</v>
      </c>
      <c r="AD52" s="4"/>
      <c r="AE52" s="4"/>
      <c r="AF52" s="4">
        <f>AC52+AF25</f>
        <v>0</v>
      </c>
      <c r="AG52" s="4"/>
      <c r="AH52" s="4"/>
      <c r="AI52" s="4">
        <f>AF52+AI25</f>
        <v>0</v>
      </c>
      <c r="AJ52" s="4"/>
      <c r="AK52" s="4"/>
      <c r="AL52" s="4">
        <f>AI52+AL25</f>
        <v>0</v>
      </c>
    </row>
    <row r="53" spans="2:84" hidden="1" x14ac:dyDescent="0.2">
      <c r="C53" s="4" t="s">
        <v>65</v>
      </c>
      <c r="D53" s="27">
        <f>D52</f>
        <v>0</v>
      </c>
      <c r="E53" s="4">
        <f>IF(RealMaaned&gt;=E50,E51,D53+E25)</f>
        <v>0</v>
      </c>
      <c r="F53" s="4"/>
      <c r="G53" s="4"/>
      <c r="H53" s="4">
        <f>IF(RealMaaned&gt;=H50,H51,E53+H25)</f>
        <v>0</v>
      </c>
      <c r="I53" s="4"/>
      <c r="J53" s="4"/>
      <c r="K53" s="4">
        <f>IF(RealMaaned&gt;=K50,K51,H53+K25)</f>
        <v>0</v>
      </c>
      <c r="L53" s="4"/>
      <c r="M53" s="4"/>
      <c r="N53" s="4">
        <f>IF(RealMaaned&gt;=N50,N51,K53+N25)</f>
        <v>0</v>
      </c>
      <c r="O53" s="4"/>
      <c r="P53" s="4"/>
      <c r="Q53" s="4">
        <f>IF(RealMaaned&gt;=Q50,Q51,N53+Q25)</f>
        <v>0</v>
      </c>
      <c r="R53" s="4"/>
      <c r="S53" s="4"/>
      <c r="T53" s="4">
        <f>IF(RealMaaned&gt;=T50,T51,Q53+T25)</f>
        <v>0</v>
      </c>
      <c r="U53" s="4"/>
      <c r="V53" s="4"/>
      <c r="W53" s="4">
        <f>IF(RealMaaned&gt;=W50,W51,T53+W25)</f>
        <v>0</v>
      </c>
      <c r="X53" s="4"/>
      <c r="Y53" s="4"/>
      <c r="Z53" s="4">
        <f>IF(RealMaaned&gt;=Z50,Z51,W53+Z25)</f>
        <v>0</v>
      </c>
      <c r="AA53" s="4"/>
      <c r="AB53" s="4"/>
      <c r="AC53" s="4">
        <f>IF(RealMaaned&gt;=AC50,AC51,Z53+AC25)</f>
        <v>0</v>
      </c>
      <c r="AD53" s="4"/>
      <c r="AE53" s="4"/>
      <c r="AF53" s="4">
        <f>IF(RealMaaned&gt;=AF50,AF51,AC53+AF25)</f>
        <v>0</v>
      </c>
      <c r="AG53" s="4"/>
      <c r="AH53" s="4"/>
      <c r="AI53" s="4">
        <f>IF(RealMaaned&gt;=AI50,AI51,AF53+AI25)</f>
        <v>0</v>
      </c>
      <c r="AJ53" s="4"/>
      <c r="AK53" s="4"/>
      <c r="AL53" s="4">
        <f>IF(RealMaaned&gt;=AL50,AL51,AI53+AL25)</f>
        <v>0</v>
      </c>
    </row>
    <row r="55" spans="2:84" s="5" customFormat="1" x14ac:dyDescent="0.2">
      <c r="B55" s="10"/>
      <c r="C55" s="6" t="s">
        <v>112</v>
      </c>
      <c r="D55" s="6"/>
      <c r="E55" s="11"/>
      <c r="F55" s="6"/>
      <c r="G55" s="12"/>
      <c r="H55" s="11"/>
      <c r="I55" s="6"/>
      <c r="J55" s="12"/>
      <c r="K55" s="11"/>
      <c r="L55" s="6"/>
      <c r="M55" s="12"/>
      <c r="N55" s="11"/>
      <c r="O55" s="6"/>
      <c r="P55" s="12"/>
      <c r="Q55" s="11"/>
      <c r="R55" s="6"/>
      <c r="S55" s="12"/>
      <c r="T55" s="11"/>
      <c r="U55" s="6"/>
      <c r="V55" s="12"/>
      <c r="W55" s="11"/>
      <c r="X55" s="6"/>
      <c r="Y55" s="12"/>
      <c r="Z55" s="11"/>
      <c r="AA55" s="6"/>
      <c r="AB55" s="12"/>
      <c r="AC55" s="11"/>
      <c r="AD55" s="6"/>
      <c r="AE55" s="12"/>
      <c r="AF55" s="11"/>
      <c r="AG55" s="6"/>
      <c r="AH55" s="12"/>
      <c r="AI55" s="11"/>
      <c r="AJ55" s="6"/>
      <c r="AK55" s="12"/>
      <c r="AL55" s="11"/>
      <c r="AM55" s="6"/>
      <c r="AN55" s="12"/>
      <c r="AO55" s="76"/>
      <c r="AP55" s="78"/>
      <c r="AQ55" s="11"/>
      <c r="AR55" s="11"/>
      <c r="AS55" s="6"/>
      <c r="AT55" s="17"/>
      <c r="AU55" s="89"/>
      <c r="AV55" s="17"/>
      <c r="AW55" s="11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</row>
  </sheetData>
  <sheetProtection password="C7C3" sheet="1" objects="1" scenarios="1"/>
  <mergeCells count="27">
    <mergeCell ref="BI2:BT2"/>
    <mergeCell ref="BU2:CF2"/>
    <mergeCell ref="AW2:BH2"/>
    <mergeCell ref="AL2:AN2"/>
    <mergeCell ref="T2:V2"/>
    <mergeCell ref="W2:Y2"/>
    <mergeCell ref="Z2:AB2"/>
    <mergeCell ref="AC2:AE2"/>
    <mergeCell ref="AF2:AH2"/>
    <mergeCell ref="AI2:AK2"/>
    <mergeCell ref="E2:G2"/>
    <mergeCell ref="H2:J2"/>
    <mergeCell ref="K2:M2"/>
    <mergeCell ref="N2:P2"/>
    <mergeCell ref="Q2:S2"/>
    <mergeCell ref="E31:G31"/>
    <mergeCell ref="H31:J31"/>
    <mergeCell ref="K31:M31"/>
    <mergeCell ref="N31:P31"/>
    <mergeCell ref="Q31:S31"/>
    <mergeCell ref="AI31:AK31"/>
    <mergeCell ref="AL31:AN31"/>
    <mergeCell ref="T31:V31"/>
    <mergeCell ref="W31:Y31"/>
    <mergeCell ref="Z31:AB31"/>
    <mergeCell ref="AC31:AE31"/>
    <mergeCell ref="AF31:AH31"/>
  </mergeCell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sBudget">
                <anchor>
                  <from>
                    <xdr:col>2</xdr:col>
                    <xdr:colOff>787400</xdr:colOff>
                    <xdr:row>0</xdr:row>
                    <xdr:rowOff>0</xdr:rowOff>
                  </from>
                  <to>
                    <xdr:col>2</xdr:col>
                    <xdr:colOff>1511300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isRealiseret">
                <anchor>
                  <from>
                    <xdr:col>2</xdr:col>
                    <xdr:colOff>1549400</xdr:colOff>
                    <xdr:row>0</xdr:row>
                    <xdr:rowOff>0</xdr:rowOff>
                  </from>
                  <to>
                    <xdr:col>2</xdr:col>
                    <xdr:colOff>2616200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VisAlle">
                <anchor>
                  <from>
                    <xdr:col>2</xdr:col>
                    <xdr:colOff>63500</xdr:colOff>
                    <xdr:row>0</xdr:row>
                    <xdr:rowOff>0</xdr:rowOff>
                  </from>
                  <to>
                    <xdr:col>2</xdr:col>
                    <xdr:colOff>787400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VisPrognose">
                <anchor>
                  <from>
                    <xdr:col>2</xdr:col>
                    <xdr:colOff>2616200</xdr:colOff>
                    <xdr:row>0</xdr:row>
                    <xdr:rowOff>12700</xdr:rowOff>
                  </from>
                  <to>
                    <xdr:col>3</xdr:col>
                    <xdr:colOff>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3"/>
  <dimension ref="A1:CP5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85" sqref="C85"/>
    </sheetView>
  </sheetViews>
  <sheetFormatPr baseColWidth="10" defaultColWidth="8.83203125" defaultRowHeight="15" x14ac:dyDescent="0.2"/>
  <cols>
    <col min="1" max="1" width="2.33203125" style="1" customWidth="1"/>
    <col min="2" max="2" width="5.5" style="2" customWidth="1"/>
    <col min="3" max="3" width="45.33203125" style="1" customWidth="1"/>
    <col min="4" max="4" width="9.83203125" style="1" customWidth="1"/>
    <col min="5" max="5" width="8.83203125" style="1" hidden="1" customWidth="1"/>
    <col min="6" max="6" width="9.83203125" style="1" customWidth="1"/>
    <col min="7" max="8" width="8.83203125" style="1" hidden="1" customWidth="1"/>
    <col min="9" max="9" width="9.83203125" style="1" customWidth="1"/>
    <col min="10" max="10" width="8.83203125" style="1" hidden="1" customWidth="1"/>
    <col min="11" max="11" width="9.83203125" style="1" customWidth="1"/>
    <col min="12" max="13" width="8.83203125" style="1" hidden="1" customWidth="1"/>
    <col min="14" max="14" width="9.83203125" style="1" customWidth="1"/>
    <col min="15" max="16" width="8.83203125" style="1" hidden="1" customWidth="1"/>
    <col min="17" max="17" width="9.83203125" style="1" customWidth="1"/>
    <col min="18" max="19" width="8.83203125" style="1" hidden="1" customWidth="1"/>
    <col min="20" max="20" width="9.83203125" style="1" customWidth="1"/>
    <col min="21" max="22" width="8.83203125" style="1" hidden="1" customWidth="1"/>
    <col min="23" max="23" width="9.83203125" style="1" customWidth="1"/>
    <col min="24" max="25" width="8.83203125" style="1" hidden="1" customWidth="1"/>
    <col min="26" max="26" width="9.83203125" style="1" customWidth="1"/>
    <col min="27" max="28" width="8.83203125" style="1" hidden="1" customWidth="1"/>
    <col min="29" max="29" width="9.83203125" style="1" customWidth="1"/>
    <col min="30" max="31" width="8.83203125" style="1" hidden="1" customWidth="1"/>
    <col min="32" max="32" width="9.83203125" style="1" customWidth="1"/>
    <col min="33" max="34" width="8.83203125" style="1" hidden="1" customWidth="1"/>
    <col min="35" max="35" width="9.83203125" style="1" customWidth="1"/>
    <col min="36" max="37" width="8.83203125" style="1" hidden="1" customWidth="1"/>
    <col min="38" max="38" width="9.83203125" style="1" customWidth="1"/>
    <col min="39" max="40" width="8.83203125" style="1" hidden="1" customWidth="1"/>
    <col min="41" max="41" width="8.83203125" style="3" customWidth="1"/>
    <col min="42" max="44" width="10.5" style="1" customWidth="1"/>
    <col min="45" max="45" width="16.5" style="1" customWidth="1"/>
    <col min="46" max="46" width="10.1640625" style="1" bestFit="1" customWidth="1"/>
    <col min="47" max="47" width="11.6640625" style="1" bestFit="1" customWidth="1"/>
    <col min="48" max="48" width="9.33203125" style="1" bestFit="1" customWidth="1"/>
    <col min="49" max="49" width="12.33203125" style="1" hidden="1" customWidth="1"/>
    <col min="50" max="61" width="11.5" style="1" hidden="1" customWidth="1"/>
    <col min="62" max="84" width="0" style="1" hidden="1" customWidth="1"/>
    <col min="85" max="2897" width="8.83203125" style="1"/>
    <col min="2898" max="2898" width="13.5" style="1" customWidth="1"/>
    <col min="2899" max="16384" width="8.83203125" style="1"/>
  </cols>
  <sheetData>
    <row r="1" spans="2:84" ht="35" customHeight="1" x14ac:dyDescent="0.3">
      <c r="E1" s="1">
        <v>1</v>
      </c>
      <c r="F1" s="29">
        <v>3</v>
      </c>
      <c r="I1" s="85">
        <v>2</v>
      </c>
      <c r="J1" s="83"/>
      <c r="K1" s="83"/>
      <c r="L1" s="84" t="s">
        <v>20</v>
      </c>
      <c r="M1" s="82"/>
      <c r="N1" s="82"/>
      <c r="O1" s="82"/>
      <c r="AW1" s="23"/>
      <c r="AX1" s="92" t="s">
        <v>21</v>
      </c>
      <c r="AY1" s="91">
        <f>12-I1</f>
        <v>10</v>
      </c>
    </row>
    <row r="2" spans="2:84" s="4" customFormat="1" x14ac:dyDescent="0.2">
      <c r="B2" s="9" t="s">
        <v>38</v>
      </c>
      <c r="D2" s="5" t="s">
        <v>3</v>
      </c>
      <c r="E2" s="112" t="s">
        <v>14</v>
      </c>
      <c r="F2" s="113"/>
      <c r="G2" s="114"/>
      <c r="H2" s="112" t="s">
        <v>15</v>
      </c>
      <c r="I2" s="115"/>
      <c r="J2" s="114"/>
      <c r="K2" s="112" t="s">
        <v>16</v>
      </c>
      <c r="L2" s="113"/>
      <c r="M2" s="114"/>
      <c r="N2" s="112" t="s">
        <v>17</v>
      </c>
      <c r="O2" s="113"/>
      <c r="P2" s="114"/>
      <c r="Q2" s="112" t="s">
        <v>0</v>
      </c>
      <c r="R2" s="113"/>
      <c r="S2" s="114"/>
      <c r="T2" s="112" t="s">
        <v>18</v>
      </c>
      <c r="U2" s="113"/>
      <c r="V2" s="114"/>
      <c r="W2" s="112" t="s">
        <v>8</v>
      </c>
      <c r="X2" s="113"/>
      <c r="Y2" s="114"/>
      <c r="Z2" s="112" t="s">
        <v>9</v>
      </c>
      <c r="AA2" s="113"/>
      <c r="AB2" s="114"/>
      <c r="AC2" s="112" t="s">
        <v>10</v>
      </c>
      <c r="AD2" s="113"/>
      <c r="AE2" s="114"/>
      <c r="AF2" s="112" t="s">
        <v>11</v>
      </c>
      <c r="AG2" s="113"/>
      <c r="AH2" s="114"/>
      <c r="AI2" s="112" t="s">
        <v>12</v>
      </c>
      <c r="AJ2" s="113"/>
      <c r="AK2" s="114"/>
      <c r="AL2" s="112" t="s">
        <v>13</v>
      </c>
      <c r="AM2" s="113"/>
      <c r="AN2" s="113"/>
      <c r="AO2" s="65"/>
      <c r="AP2" s="25" t="s">
        <v>107</v>
      </c>
      <c r="AQ2" s="15"/>
      <c r="AR2" s="65"/>
      <c r="AS2" s="67"/>
      <c r="AT2" s="67"/>
      <c r="AU2" s="67" t="s">
        <v>103</v>
      </c>
      <c r="AV2" s="70"/>
      <c r="AW2" s="117" t="s">
        <v>22</v>
      </c>
      <c r="AX2" s="117"/>
      <c r="AY2" s="119"/>
      <c r="AZ2" s="117"/>
      <c r="BA2" s="117"/>
      <c r="BB2" s="117"/>
      <c r="BC2" s="117"/>
      <c r="BD2" s="117"/>
      <c r="BE2" s="117"/>
      <c r="BF2" s="117"/>
      <c r="BG2" s="117"/>
      <c r="BH2" s="118"/>
      <c r="BI2" s="116" t="s">
        <v>101</v>
      </c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8"/>
      <c r="BU2" s="116" t="s">
        <v>102</v>
      </c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8"/>
    </row>
    <row r="3" spans="2:84" s="4" customFormat="1" x14ac:dyDescent="0.2">
      <c r="B3" s="2" t="s">
        <v>110</v>
      </c>
      <c r="C3" s="4" t="s">
        <v>111</v>
      </c>
      <c r="E3" s="31" t="s">
        <v>39</v>
      </c>
      <c r="F3" s="24" t="s">
        <v>2</v>
      </c>
      <c r="G3" s="21" t="s">
        <v>1</v>
      </c>
      <c r="H3" s="31" t="s">
        <v>40</v>
      </c>
      <c r="I3" s="24" t="s">
        <v>2</v>
      </c>
      <c r="J3" s="21" t="s">
        <v>1</v>
      </c>
      <c r="K3" s="31" t="s">
        <v>41</v>
      </c>
      <c r="L3" s="24" t="s">
        <v>2</v>
      </c>
      <c r="M3" s="21" t="s">
        <v>1</v>
      </c>
      <c r="N3" s="31" t="s">
        <v>42</v>
      </c>
      <c r="O3" s="24" t="s">
        <v>2</v>
      </c>
      <c r="P3" s="21" t="s">
        <v>1</v>
      </c>
      <c r="Q3" s="31" t="s">
        <v>43</v>
      </c>
      <c r="R3" s="24" t="s">
        <v>2</v>
      </c>
      <c r="S3" s="21" t="s">
        <v>1</v>
      </c>
      <c r="T3" s="31" t="s">
        <v>44</v>
      </c>
      <c r="U3" s="24" t="s">
        <v>2</v>
      </c>
      <c r="V3" s="21" t="s">
        <v>1</v>
      </c>
      <c r="W3" s="31" t="s">
        <v>45</v>
      </c>
      <c r="X3" s="24" t="s">
        <v>2</v>
      </c>
      <c r="Y3" s="21" t="s">
        <v>1</v>
      </c>
      <c r="Z3" s="31" t="s">
        <v>46</v>
      </c>
      <c r="AA3" s="24" t="s">
        <v>2</v>
      </c>
      <c r="AB3" s="21" t="s">
        <v>1</v>
      </c>
      <c r="AC3" s="31" t="s">
        <v>47</v>
      </c>
      <c r="AD3" s="24" t="s">
        <v>2</v>
      </c>
      <c r="AE3" s="21" t="s">
        <v>1</v>
      </c>
      <c r="AF3" s="31" t="s">
        <v>48</v>
      </c>
      <c r="AG3" s="24" t="s">
        <v>2</v>
      </c>
      <c r="AH3" s="21" t="s">
        <v>1</v>
      </c>
      <c r="AI3" s="31" t="s">
        <v>49</v>
      </c>
      <c r="AJ3" s="24" t="s">
        <v>2</v>
      </c>
      <c r="AK3" s="21" t="s">
        <v>1</v>
      </c>
      <c r="AL3" s="32" t="s">
        <v>50</v>
      </c>
      <c r="AM3" s="20" t="s">
        <v>2</v>
      </c>
      <c r="AN3" s="20" t="s">
        <v>1</v>
      </c>
      <c r="AO3" s="66" t="s">
        <v>99</v>
      </c>
      <c r="AP3" s="71" t="s">
        <v>100</v>
      </c>
      <c r="AQ3" s="71" t="s">
        <v>26</v>
      </c>
      <c r="AR3" s="68"/>
      <c r="AS3" s="69"/>
      <c r="AT3" s="90" t="s">
        <v>109</v>
      </c>
      <c r="AU3" s="71" t="s">
        <v>19</v>
      </c>
      <c r="AV3" s="72" t="s">
        <v>26</v>
      </c>
      <c r="AW3" s="4">
        <v>1</v>
      </c>
      <c r="AX3" s="4">
        <v>2</v>
      </c>
      <c r="AY3" s="4">
        <v>3</v>
      </c>
      <c r="AZ3" s="4">
        <v>4</v>
      </c>
      <c r="BA3" s="4">
        <v>5</v>
      </c>
      <c r="BB3" s="4">
        <v>6</v>
      </c>
      <c r="BC3" s="4">
        <v>7</v>
      </c>
      <c r="BD3" s="4">
        <v>8</v>
      </c>
      <c r="BE3" s="4">
        <v>9</v>
      </c>
      <c r="BF3" s="4">
        <v>10</v>
      </c>
      <c r="BG3" s="4">
        <v>11</v>
      </c>
      <c r="BH3" s="4">
        <v>12</v>
      </c>
      <c r="BI3" s="4">
        <v>1</v>
      </c>
      <c r="BJ3" s="4">
        <v>2</v>
      </c>
      <c r="BK3" s="4">
        <v>3</v>
      </c>
      <c r="BL3" s="4">
        <v>4</v>
      </c>
      <c r="BM3" s="4">
        <v>5</v>
      </c>
      <c r="BN3" s="4">
        <v>6</v>
      </c>
      <c r="BO3" s="4">
        <v>7</v>
      </c>
      <c r="BP3" s="4">
        <v>8</v>
      </c>
      <c r="BQ3" s="4">
        <v>9</v>
      </c>
      <c r="BR3" s="4">
        <v>10</v>
      </c>
      <c r="BS3" s="4">
        <v>11</v>
      </c>
      <c r="BT3" s="4">
        <v>12</v>
      </c>
      <c r="BU3" s="4">
        <v>1</v>
      </c>
      <c r="BV3" s="4">
        <v>2</v>
      </c>
      <c r="BW3" s="4">
        <v>3</v>
      </c>
      <c r="BX3" s="4">
        <v>4</v>
      </c>
      <c r="BY3" s="4">
        <v>5</v>
      </c>
      <c r="BZ3" s="4">
        <v>6</v>
      </c>
      <c r="CA3" s="4">
        <v>7</v>
      </c>
      <c r="CB3" s="4">
        <v>8</v>
      </c>
      <c r="CC3" s="4">
        <v>9</v>
      </c>
      <c r="CD3" s="4">
        <v>10</v>
      </c>
      <c r="CE3" s="4">
        <v>11</v>
      </c>
      <c r="CF3" s="4">
        <v>12</v>
      </c>
    </row>
    <row r="4" spans="2:84" s="4" customFormat="1" x14ac:dyDescent="0.2">
      <c r="B4" s="2"/>
      <c r="C4" s="4" t="s">
        <v>89</v>
      </c>
      <c r="D4" s="4" t="s">
        <v>3</v>
      </c>
      <c r="E4" s="13"/>
      <c r="F4" s="45"/>
      <c r="G4" s="8">
        <f>F4-E4</f>
        <v>0</v>
      </c>
      <c r="H4" s="13"/>
      <c r="I4" s="45"/>
      <c r="J4" s="8">
        <f>I4-H4</f>
        <v>0</v>
      </c>
      <c r="K4" s="13"/>
      <c r="L4" s="45"/>
      <c r="M4" s="8">
        <f t="shared" ref="M4:M14" si="0">L4-K4</f>
        <v>0</v>
      </c>
      <c r="N4" s="13"/>
      <c r="O4" s="45"/>
      <c r="P4" s="8">
        <f t="shared" ref="P4:P14" si="1">O4-N4</f>
        <v>0</v>
      </c>
      <c r="Q4" s="13"/>
      <c r="R4" s="45"/>
      <c r="S4" s="8">
        <f t="shared" ref="S4:S14" si="2">R4-Q4</f>
        <v>0</v>
      </c>
      <c r="T4" s="13"/>
      <c r="U4" s="45"/>
      <c r="V4" s="8">
        <f t="shared" ref="V4:V14" si="3">U4-T4</f>
        <v>0</v>
      </c>
      <c r="W4" s="13"/>
      <c r="X4" s="45"/>
      <c r="Y4" s="8">
        <f t="shared" ref="Y4:Y14" si="4">X4-W4</f>
        <v>0</v>
      </c>
      <c r="Z4" s="13"/>
      <c r="AA4" s="45"/>
      <c r="AB4" s="8">
        <f t="shared" ref="AB4:AB14" si="5">AA4-Z4</f>
        <v>0</v>
      </c>
      <c r="AC4" s="13"/>
      <c r="AD4" s="45"/>
      <c r="AE4" s="8">
        <f t="shared" ref="AE4:AE14" si="6">AD4-AC4</f>
        <v>0</v>
      </c>
      <c r="AF4" s="13"/>
      <c r="AG4" s="45"/>
      <c r="AH4" s="8">
        <f t="shared" ref="AH4:AH14" si="7">AG4-AF4</f>
        <v>0</v>
      </c>
      <c r="AI4" s="13"/>
      <c r="AJ4" s="45"/>
      <c r="AK4" s="8">
        <f t="shared" ref="AK4:AK14" si="8">AJ4-AI4</f>
        <v>0</v>
      </c>
      <c r="AL4" s="13"/>
      <c r="AM4" s="45"/>
      <c r="AN4" s="8">
        <f t="shared" ref="AN4:AN14" si="9">AM4-AL4</f>
        <v>0</v>
      </c>
      <c r="AO4" s="73">
        <f t="shared" ref="AO4:AO14" si="10">INDEX(BI4:BT4,1,$I$1)</f>
        <v>0</v>
      </c>
      <c r="AP4" s="80">
        <f t="shared" ref="AP4:AP14" si="11">INDEX(BU4:CF4,1,$I$1)</f>
        <v>0</v>
      </c>
      <c r="AQ4" s="22">
        <f>AP4-AO4</f>
        <v>0</v>
      </c>
      <c r="AR4" s="7" t="str">
        <f t="shared" ref="AR4:AR14" si="12">C4</f>
        <v>OMSÆTNING I ALT</v>
      </c>
      <c r="AT4" s="22"/>
      <c r="AU4" s="88">
        <f>INDEX(AW4:BH4,1,$I$1)</f>
        <v>0</v>
      </c>
      <c r="AV4" s="22">
        <f>AU4-AT4</f>
        <v>0</v>
      </c>
      <c r="AW4" s="4">
        <f>AL4+AI4+AF4+AC4+Z4+W4+T4+Q4+N4+K4+H4+F4</f>
        <v>0</v>
      </c>
      <c r="AX4" s="4">
        <f>AL4+AI4+AF4+AC4+Z4+W4+T4+Q4+N4+K4+I4+F4</f>
        <v>0</v>
      </c>
      <c r="AY4" s="4">
        <f>AL4+AI4+AF4+AC4+Z4+W4+T4+Q4+N4+L4+I4+F4</f>
        <v>0</v>
      </c>
      <c r="AZ4" s="4">
        <f>AL4+AI4+AF4+AC4+Z4+W4+T4+Q4+O4+L4+I4+F4</f>
        <v>0</v>
      </c>
      <c r="BA4" s="4">
        <f>AL4+AI4+AF4+AC4+Z4+W4+T4+R4+O4+L4+I4+F4</f>
        <v>0</v>
      </c>
      <c r="BB4" s="4">
        <f>AL4+AI4+AF4+AC4+Z4+W4+U4+R4+O4+L4+I4+F4</f>
        <v>0</v>
      </c>
      <c r="BC4" s="4">
        <f>AL4+AI4+AF4+AC4+Z4+X4+U4+R4+O4+L4+I4+F4</f>
        <v>0</v>
      </c>
      <c r="BD4" s="4">
        <f>AL4+AI4+AF4+AC4+AA4+X4+U4+R4+O4+L4+I4+F4</f>
        <v>0</v>
      </c>
      <c r="BE4" s="4">
        <f>AL4+AI4+AF4+AD4+AA4+X4+U4+R4+O4+L4+I4+F4</f>
        <v>0</v>
      </c>
      <c r="BF4" s="4">
        <f>AL4+AI4+AG4+AD4+AA4+X4+U4+R4+O4+L4+I4+F4</f>
        <v>0</v>
      </c>
      <c r="BG4" s="4">
        <f>AL4+AJ4+AG4+AD4+AA4+X4+U4+R4+O4+L4+I4+F4</f>
        <v>0</v>
      </c>
      <c r="BH4" s="4">
        <f>AM4+AJ4+AG4+AD4+AA4+X4+U4+R4+O4+L4+I4+F4</f>
        <v>0</v>
      </c>
      <c r="BI4" s="4">
        <f>E4</f>
        <v>0</v>
      </c>
      <c r="BJ4" s="4">
        <f t="shared" ref="BJ4:BJ15" si="13">BI4+H4</f>
        <v>0</v>
      </c>
      <c r="BK4" s="4">
        <f t="shared" ref="BK4:BK15" si="14">BJ4+K4</f>
        <v>0</v>
      </c>
      <c r="BL4" s="4">
        <f t="shared" ref="BL4:BL15" si="15">BK4+N4</f>
        <v>0</v>
      </c>
      <c r="BM4" s="4">
        <f t="shared" ref="BM4:BM15" si="16">BL4+Q4</f>
        <v>0</v>
      </c>
      <c r="BN4" s="4">
        <f t="shared" ref="BN4:BN15" si="17">BM4+T4</f>
        <v>0</v>
      </c>
      <c r="BO4" s="4">
        <f t="shared" ref="BO4:BO15" si="18">BN4+W4</f>
        <v>0</v>
      </c>
      <c r="BP4" s="4">
        <f t="shared" ref="BP4:BP15" si="19">BO4+Z4</f>
        <v>0</v>
      </c>
      <c r="BQ4" s="4">
        <f t="shared" ref="BQ4:BQ15" si="20">BP4+AC4</f>
        <v>0</v>
      </c>
      <c r="BR4" s="4">
        <f t="shared" ref="BR4:BR15" si="21">+BQ4+AF4</f>
        <v>0</v>
      </c>
      <c r="BS4" s="4">
        <f t="shared" ref="BS4:BS15" si="22">+BR4+AI4</f>
        <v>0</v>
      </c>
      <c r="BT4" s="4">
        <f t="shared" ref="BT4:BT15" si="23">BS4+AL4</f>
        <v>0</v>
      </c>
      <c r="BU4" s="4">
        <f>F4</f>
        <v>0</v>
      </c>
      <c r="BV4" s="4">
        <f t="shared" ref="BV4:BV15" si="24">BU4+I4</f>
        <v>0</v>
      </c>
      <c r="BW4" s="4">
        <f t="shared" ref="BW4:BW15" si="25">BV4+L4</f>
        <v>0</v>
      </c>
      <c r="BX4" s="4">
        <f t="shared" ref="BX4:BX15" si="26">BW4+O4</f>
        <v>0</v>
      </c>
      <c r="BY4" s="4">
        <f t="shared" ref="BY4:BY15" si="27">BX4+R4</f>
        <v>0</v>
      </c>
      <c r="BZ4" s="4">
        <f t="shared" ref="BZ4:BZ15" si="28">BY4+U4</f>
        <v>0</v>
      </c>
      <c r="CA4" s="4">
        <f t="shared" ref="CA4:CA15" si="29">BZ4+X4</f>
        <v>0</v>
      </c>
      <c r="CB4" s="4">
        <f t="shared" ref="CB4:CB15" si="30">CA4+AA4</f>
        <v>0</v>
      </c>
      <c r="CC4" s="4">
        <f t="shared" ref="CC4:CC15" si="31">CB4+AD4</f>
        <v>0</v>
      </c>
      <c r="CD4" s="4">
        <f t="shared" ref="CD4:CD15" si="32">+CC4+AG4</f>
        <v>0</v>
      </c>
      <c r="CE4" s="4">
        <f t="shared" ref="CE4:CE15" si="33">+CD4+AJ4</f>
        <v>0</v>
      </c>
      <c r="CF4" s="4">
        <f t="shared" ref="CF4:CF15" si="34">CE4+AM4</f>
        <v>0</v>
      </c>
    </row>
    <row r="5" spans="2:84" s="4" customFormat="1" x14ac:dyDescent="0.2">
      <c r="B5" s="2"/>
      <c r="C5" s="4" t="s">
        <v>108</v>
      </c>
      <c r="D5" s="4" t="s">
        <v>3</v>
      </c>
      <c r="E5" s="13"/>
      <c r="F5" s="45"/>
      <c r="G5" s="8">
        <f t="shared" ref="G5:G14" si="35">F5-E5</f>
        <v>0</v>
      </c>
      <c r="H5" s="13"/>
      <c r="I5" s="45"/>
      <c r="J5" s="8">
        <f t="shared" ref="J5:J6" si="36">I5-H5</f>
        <v>0</v>
      </c>
      <c r="K5" s="13"/>
      <c r="L5" s="45"/>
      <c r="M5" s="8">
        <f t="shared" si="0"/>
        <v>0</v>
      </c>
      <c r="N5" s="13"/>
      <c r="O5" s="45"/>
      <c r="P5" s="8">
        <f t="shared" si="1"/>
        <v>0</v>
      </c>
      <c r="Q5" s="13"/>
      <c r="R5" s="45"/>
      <c r="S5" s="8">
        <f t="shared" si="2"/>
        <v>0</v>
      </c>
      <c r="T5" s="13"/>
      <c r="U5" s="45"/>
      <c r="V5" s="8">
        <f t="shared" si="3"/>
        <v>0</v>
      </c>
      <c r="W5" s="13"/>
      <c r="X5" s="45"/>
      <c r="Y5" s="8">
        <f t="shared" si="4"/>
        <v>0</v>
      </c>
      <c r="Z5" s="13"/>
      <c r="AA5" s="45"/>
      <c r="AB5" s="8">
        <f t="shared" si="5"/>
        <v>0</v>
      </c>
      <c r="AC5" s="13"/>
      <c r="AD5" s="45"/>
      <c r="AE5" s="8">
        <f t="shared" si="6"/>
        <v>0</v>
      </c>
      <c r="AF5" s="13"/>
      <c r="AG5" s="45"/>
      <c r="AH5" s="8">
        <f t="shared" si="7"/>
        <v>0</v>
      </c>
      <c r="AI5" s="13"/>
      <c r="AJ5" s="45"/>
      <c r="AK5" s="8">
        <f t="shared" si="8"/>
        <v>0</v>
      </c>
      <c r="AL5" s="13"/>
      <c r="AM5" s="45"/>
      <c r="AN5" s="8">
        <f t="shared" si="9"/>
        <v>0</v>
      </c>
      <c r="AO5" s="73">
        <f t="shared" si="10"/>
        <v>0</v>
      </c>
      <c r="AP5" s="80">
        <f t="shared" si="11"/>
        <v>0</v>
      </c>
      <c r="AQ5" s="22">
        <f t="shared" ref="AQ5:AQ6" si="37">AP5-AO5</f>
        <v>0</v>
      </c>
      <c r="AR5" s="7" t="str">
        <f t="shared" si="12"/>
        <v xml:space="preserve">   SUM AF FRØ</v>
      </c>
      <c r="AT5" s="22"/>
      <c r="AU5" s="88">
        <f>INDEX(AW5:BH5,1,$I$1)</f>
        <v>0</v>
      </c>
      <c r="AV5" s="22">
        <f t="shared" ref="AV5:AV6" si="38">AU5-AT5</f>
        <v>0</v>
      </c>
      <c r="AW5" s="4">
        <f>AL5+AI5+AF5+AC5+Z5+W5+T5+Q5+N5+K5+H5+F5</f>
        <v>0</v>
      </c>
      <c r="AX5" s="4">
        <f>AL5+AI5+AF5+AC5+Z5+W5+T5+Q5+N5+K5+I5+F5</f>
        <v>0</v>
      </c>
      <c r="AY5" s="4">
        <f>AL5+AI5+AF5+AC5+Z5+W5+T5+Q5+N5+L5+I5+F5</f>
        <v>0</v>
      </c>
      <c r="AZ5" s="4">
        <f>AL5+AI5+AF5+AC5+Z5+W5+T5+Q5+O5+L5+I5+F5</f>
        <v>0</v>
      </c>
      <c r="BA5" s="4">
        <f>AL5+AI5+AF5+AC5+Z5+W5+T5+R5+O5+L5+I5+F5</f>
        <v>0</v>
      </c>
      <c r="BB5" s="4">
        <f>AL5+AI5+AF5+AC5+Z5+W5+U5+R5+O5+L5+I5+F5</f>
        <v>0</v>
      </c>
      <c r="BC5" s="4">
        <f>AL5+AI5+AF5+AC5+Z5+X5+U5+R5+O5+L5+I5+F5</f>
        <v>0</v>
      </c>
      <c r="BD5" s="4">
        <f>AL5+AI5+AF5+AC5+AA5+X5+U5+R5+O5+L5+I5+F5</f>
        <v>0</v>
      </c>
      <c r="BE5" s="4">
        <f>AL5+AI5+AF5+AD5+AA5+X5+U5+R5+O5+L5+I5+F5</f>
        <v>0</v>
      </c>
      <c r="BF5" s="4">
        <f>AL5+AI5+AG5+AD5+AA5+X5+U5+R5+O5+L5+I5+F5</f>
        <v>0</v>
      </c>
      <c r="BG5" s="4">
        <f>AL5+AJ5+AG5+AD5+AA5+X5+U5+R5+O5+L5+I5+F5</f>
        <v>0</v>
      </c>
      <c r="BH5" s="4">
        <f>AM5+AJ5+AG5+AD5+AA5+X5+U5+R5+O5+L5+I5+F5</f>
        <v>0</v>
      </c>
      <c r="BI5" s="4">
        <f t="shared" ref="BI5:BI15" si="39">E5</f>
        <v>0</v>
      </c>
      <c r="BJ5" s="4">
        <f t="shared" si="13"/>
        <v>0</v>
      </c>
      <c r="BK5" s="4">
        <f t="shared" si="14"/>
        <v>0</v>
      </c>
      <c r="BL5" s="4">
        <f t="shared" si="15"/>
        <v>0</v>
      </c>
      <c r="BM5" s="4">
        <f t="shared" si="16"/>
        <v>0</v>
      </c>
      <c r="BN5" s="4">
        <f t="shared" si="17"/>
        <v>0</v>
      </c>
      <c r="BO5" s="4">
        <f t="shared" si="18"/>
        <v>0</v>
      </c>
      <c r="BP5" s="4">
        <f t="shared" si="19"/>
        <v>0</v>
      </c>
      <c r="BQ5" s="4">
        <f t="shared" si="20"/>
        <v>0</v>
      </c>
      <c r="BR5" s="4">
        <f t="shared" si="21"/>
        <v>0</v>
      </c>
      <c r="BS5" s="4">
        <f t="shared" si="22"/>
        <v>0</v>
      </c>
      <c r="BT5" s="4">
        <f t="shared" si="23"/>
        <v>0</v>
      </c>
      <c r="BU5" s="4">
        <f t="shared" ref="BU5:BU15" si="40">F5</f>
        <v>0</v>
      </c>
      <c r="BV5" s="4">
        <f t="shared" si="24"/>
        <v>0</v>
      </c>
      <c r="BW5" s="4">
        <f t="shared" si="25"/>
        <v>0</v>
      </c>
      <c r="BX5" s="4">
        <f t="shared" si="26"/>
        <v>0</v>
      </c>
      <c r="BY5" s="4">
        <f t="shared" si="27"/>
        <v>0</v>
      </c>
      <c r="BZ5" s="4">
        <f t="shared" si="28"/>
        <v>0</v>
      </c>
      <c r="CA5" s="4">
        <f t="shared" si="29"/>
        <v>0</v>
      </c>
      <c r="CB5" s="4">
        <f t="shared" si="30"/>
        <v>0</v>
      </c>
      <c r="CC5" s="4">
        <f t="shared" si="31"/>
        <v>0</v>
      </c>
      <c r="CD5" s="4">
        <f t="shared" si="32"/>
        <v>0</v>
      </c>
      <c r="CE5" s="4">
        <f t="shared" si="33"/>
        <v>0</v>
      </c>
      <c r="CF5" s="4">
        <f t="shared" si="34"/>
        <v>0</v>
      </c>
    </row>
    <row r="6" spans="2:84" s="4" customFormat="1" x14ac:dyDescent="0.2">
      <c r="B6" s="2"/>
      <c r="C6" s="4" t="s">
        <v>90</v>
      </c>
      <c r="D6" s="4" t="s">
        <v>3</v>
      </c>
      <c r="E6" s="13"/>
      <c r="F6" s="45"/>
      <c r="G6" s="8">
        <f t="shared" si="35"/>
        <v>0</v>
      </c>
      <c r="H6" s="13"/>
      <c r="I6" s="45"/>
      <c r="J6" s="8">
        <f t="shared" si="36"/>
        <v>0</v>
      </c>
      <c r="K6" s="13"/>
      <c r="L6" s="45"/>
      <c r="M6" s="8">
        <f t="shared" si="0"/>
        <v>0</v>
      </c>
      <c r="N6" s="13"/>
      <c r="O6" s="45"/>
      <c r="P6" s="8">
        <f t="shared" si="1"/>
        <v>0</v>
      </c>
      <c r="Q6" s="13"/>
      <c r="R6" s="45"/>
      <c r="S6" s="8">
        <f t="shared" si="2"/>
        <v>0</v>
      </c>
      <c r="T6" s="13"/>
      <c r="U6" s="45"/>
      <c r="V6" s="8">
        <f t="shared" si="3"/>
        <v>0</v>
      </c>
      <c r="W6" s="13"/>
      <c r="X6" s="45"/>
      <c r="Y6" s="8">
        <f t="shared" si="4"/>
        <v>0</v>
      </c>
      <c r="Z6" s="13"/>
      <c r="AA6" s="45"/>
      <c r="AB6" s="8">
        <f t="shared" si="5"/>
        <v>0</v>
      </c>
      <c r="AC6" s="13"/>
      <c r="AD6" s="45"/>
      <c r="AE6" s="8">
        <f t="shared" si="6"/>
        <v>0</v>
      </c>
      <c r="AF6" s="13"/>
      <c r="AG6" s="45"/>
      <c r="AH6" s="8">
        <f t="shared" si="7"/>
        <v>0</v>
      </c>
      <c r="AI6" s="13"/>
      <c r="AJ6" s="45"/>
      <c r="AK6" s="8">
        <f t="shared" si="8"/>
        <v>0</v>
      </c>
      <c r="AL6" s="13"/>
      <c r="AM6" s="45"/>
      <c r="AN6" s="8">
        <f t="shared" si="9"/>
        <v>0</v>
      </c>
      <c r="AO6" s="73">
        <f t="shared" si="10"/>
        <v>0</v>
      </c>
      <c r="AP6" s="80">
        <f t="shared" si="11"/>
        <v>0</v>
      </c>
      <c r="AQ6" s="22">
        <f t="shared" si="37"/>
        <v>0</v>
      </c>
      <c r="AR6" s="7" t="str">
        <f t="shared" si="12"/>
        <v>VAREFORBRUG</v>
      </c>
      <c r="AT6" s="22"/>
      <c r="AU6" s="88">
        <f>INDEX(AW6:BH6,1,$I$1)</f>
        <v>0</v>
      </c>
      <c r="AV6" s="22">
        <f t="shared" si="38"/>
        <v>0</v>
      </c>
      <c r="AW6" s="4">
        <f>AL6+AI6+AF6+AC6+Z6+W6+T6+Q6+N6+K6+H6+F6</f>
        <v>0</v>
      </c>
      <c r="AX6" s="4">
        <f>AL6+AI6+AF6+AC6+Z6+W6+T6+Q6+N6+K6+I6+F6</f>
        <v>0</v>
      </c>
      <c r="AY6" s="4">
        <f>AL6+AI6+AF6+AC6+Z6+W6+T6+Q6+N6+L6+I6+F6</f>
        <v>0</v>
      </c>
      <c r="AZ6" s="4">
        <f>AL6+AI6+AF6+AC6+Z6+W6+T6+Q6+O6+L6+I6+F6</f>
        <v>0</v>
      </c>
      <c r="BA6" s="4">
        <f>AL6+AI6+AF6+AC6+Z6+W6+T6+R6+O6+L6+I6+F6</f>
        <v>0</v>
      </c>
      <c r="BB6" s="4">
        <f>AL6+AI6+AF6+AC6+Z6+W6+U6+R6+O6+L6+I6+F6</f>
        <v>0</v>
      </c>
      <c r="BC6" s="4">
        <f>AL6+AI6+AF6+AC6+Z6+X6+U6+R6+O6+L6+I6+F6</f>
        <v>0</v>
      </c>
      <c r="BD6" s="4">
        <f>AL6+AI6+AF6+AC6+AA6+X6+U6+R6+O6+L6+I6+F6</f>
        <v>0</v>
      </c>
      <c r="BE6" s="4">
        <f>AL6+AI6+AF6+AD6+AA6+X6+U6+R6+O6+L6+I6+F6</f>
        <v>0</v>
      </c>
      <c r="BF6" s="4">
        <f>AL6+AI6+AG6+AD6+AA6+X6+U6+R6+O6+L6+I6+F6</f>
        <v>0</v>
      </c>
      <c r="BG6" s="4">
        <f>AL6+AJ6+AG6+AD6+AA6+X6+U6+R6+O6+L6+I6+F6</f>
        <v>0</v>
      </c>
      <c r="BH6" s="4">
        <f>AM6+AJ6+AG6+AD6+AA6+X6+U6+R6+O6+L6+I6+F6</f>
        <v>0</v>
      </c>
      <c r="BI6" s="4">
        <f t="shared" si="39"/>
        <v>0</v>
      </c>
      <c r="BJ6" s="4">
        <f t="shared" si="13"/>
        <v>0</v>
      </c>
      <c r="BK6" s="4">
        <f t="shared" si="14"/>
        <v>0</v>
      </c>
      <c r="BL6" s="4">
        <f t="shared" si="15"/>
        <v>0</v>
      </c>
      <c r="BM6" s="4">
        <f t="shared" si="16"/>
        <v>0</v>
      </c>
      <c r="BN6" s="4">
        <f t="shared" si="17"/>
        <v>0</v>
      </c>
      <c r="BO6" s="4">
        <f t="shared" si="18"/>
        <v>0</v>
      </c>
      <c r="BP6" s="4">
        <f t="shared" si="19"/>
        <v>0</v>
      </c>
      <c r="BQ6" s="4">
        <f t="shared" si="20"/>
        <v>0</v>
      </c>
      <c r="BR6" s="4">
        <f t="shared" si="21"/>
        <v>0</v>
      </c>
      <c r="BS6" s="4">
        <f t="shared" si="22"/>
        <v>0</v>
      </c>
      <c r="BT6" s="4">
        <f t="shared" si="23"/>
        <v>0</v>
      </c>
      <c r="BU6" s="4">
        <f t="shared" si="40"/>
        <v>0</v>
      </c>
      <c r="BV6" s="4">
        <f t="shared" si="24"/>
        <v>0</v>
      </c>
      <c r="BW6" s="4">
        <f t="shared" si="25"/>
        <v>0</v>
      </c>
      <c r="BX6" s="4">
        <f t="shared" si="26"/>
        <v>0</v>
      </c>
      <c r="BY6" s="4">
        <f t="shared" si="27"/>
        <v>0</v>
      </c>
      <c r="BZ6" s="4">
        <f t="shared" si="28"/>
        <v>0</v>
      </c>
      <c r="CA6" s="4">
        <f t="shared" si="29"/>
        <v>0</v>
      </c>
      <c r="CB6" s="4">
        <f t="shared" si="30"/>
        <v>0</v>
      </c>
      <c r="CC6" s="4">
        <f t="shared" si="31"/>
        <v>0</v>
      </c>
      <c r="CD6" s="4">
        <f t="shared" si="32"/>
        <v>0</v>
      </c>
      <c r="CE6" s="4">
        <f t="shared" si="33"/>
        <v>0</v>
      </c>
      <c r="CF6" s="4">
        <f t="shared" si="34"/>
        <v>0</v>
      </c>
    </row>
    <row r="7" spans="2:84" s="5" customFormat="1" x14ac:dyDescent="0.2">
      <c r="B7" s="9"/>
      <c r="C7" s="5" t="s">
        <v>91</v>
      </c>
      <c r="E7" s="64">
        <f>SUM(E4:E6)</f>
        <v>0</v>
      </c>
      <c r="F7" s="5">
        <f>SUM(F4:F6)</f>
        <v>0</v>
      </c>
      <c r="G7" s="8">
        <f t="shared" si="35"/>
        <v>0</v>
      </c>
      <c r="H7" s="64">
        <f>SUM(H4:H6)</f>
        <v>0</v>
      </c>
      <c r="I7" s="5">
        <f>SUM(I4:I6)</f>
        <v>0</v>
      </c>
      <c r="J7" s="86">
        <f>I7-H7</f>
        <v>0</v>
      </c>
      <c r="K7" s="64">
        <f>SUM(K4:K6)</f>
        <v>0</v>
      </c>
      <c r="L7" s="5">
        <f>SUM(L4:L6)</f>
        <v>0</v>
      </c>
      <c r="M7" s="86">
        <f t="shared" si="0"/>
        <v>0</v>
      </c>
      <c r="N7" s="64">
        <f>SUM(N4:N6)</f>
        <v>0</v>
      </c>
      <c r="O7" s="5">
        <f>SUM(O4:O6)</f>
        <v>0</v>
      </c>
      <c r="P7" s="86">
        <f t="shared" si="1"/>
        <v>0</v>
      </c>
      <c r="Q7" s="64">
        <f>SUM(Q4:Q6)</f>
        <v>0</v>
      </c>
      <c r="R7" s="5">
        <f>SUM(R4:R6)</f>
        <v>0</v>
      </c>
      <c r="S7" s="86">
        <f t="shared" si="2"/>
        <v>0</v>
      </c>
      <c r="T7" s="64">
        <f>SUM(T4:T6)</f>
        <v>0</v>
      </c>
      <c r="U7" s="5">
        <f>SUM(U4:U6)</f>
        <v>0</v>
      </c>
      <c r="V7" s="86">
        <f t="shared" si="3"/>
        <v>0</v>
      </c>
      <c r="W7" s="64">
        <f>SUM(W4:W6)</f>
        <v>0</v>
      </c>
      <c r="X7" s="5">
        <f>SUM(X4:X6)</f>
        <v>0</v>
      </c>
      <c r="Y7" s="86">
        <f t="shared" si="4"/>
        <v>0</v>
      </c>
      <c r="Z7" s="64">
        <f>SUM(Z4:Z6)</f>
        <v>0</v>
      </c>
      <c r="AA7" s="5">
        <f>SUM(AA4:AA6)</f>
        <v>0</v>
      </c>
      <c r="AB7" s="86">
        <f t="shared" si="5"/>
        <v>0</v>
      </c>
      <c r="AC7" s="64">
        <f>SUM(AC4:AC6)</f>
        <v>0</v>
      </c>
      <c r="AD7" s="5">
        <f>SUM(AD4:AD6)</f>
        <v>0</v>
      </c>
      <c r="AE7" s="86">
        <f t="shared" si="6"/>
        <v>0</v>
      </c>
      <c r="AF7" s="64">
        <f>SUM(AF4:AF6)</f>
        <v>0</v>
      </c>
      <c r="AG7" s="5">
        <f>SUM(AG4:AG6)</f>
        <v>0</v>
      </c>
      <c r="AH7" s="86">
        <f t="shared" si="7"/>
        <v>0</v>
      </c>
      <c r="AI7" s="64">
        <f>SUM(AI4:AI6)</f>
        <v>0</v>
      </c>
      <c r="AJ7" s="5">
        <f>SUM(AJ4:AJ6)</f>
        <v>0</v>
      </c>
      <c r="AK7" s="86">
        <f t="shared" si="8"/>
        <v>0</v>
      </c>
      <c r="AL7" s="64">
        <f>SUM(AL4:AL6)</f>
        <v>0</v>
      </c>
      <c r="AM7" s="5">
        <f>SUM(AM4:AM6)</f>
        <v>0</v>
      </c>
      <c r="AN7" s="86">
        <f t="shared" si="9"/>
        <v>0</v>
      </c>
      <c r="AO7" s="87">
        <f t="shared" si="10"/>
        <v>0</v>
      </c>
      <c r="AP7" s="87">
        <f t="shared" si="11"/>
        <v>0</v>
      </c>
      <c r="AQ7" s="87">
        <f>SUM(AQ4:AQ6)</f>
        <v>0</v>
      </c>
      <c r="AR7" s="64" t="str">
        <f t="shared" si="12"/>
        <v>DÆKNINGSBIDRAG</v>
      </c>
      <c r="AT7" s="87">
        <f>SUM(AT4:AT6)</f>
        <v>0</v>
      </c>
      <c r="AU7" s="86">
        <f>SUM(AU4:AU6)</f>
        <v>0</v>
      </c>
      <c r="AV7" s="87">
        <f>SUM(AV4:AV6)</f>
        <v>0</v>
      </c>
      <c r="AW7" s="5">
        <f>SUM(AW4:AW6)</f>
        <v>0</v>
      </c>
      <c r="AX7" s="5">
        <f>SUM(AX4:AX6)</f>
        <v>0</v>
      </c>
      <c r="AY7" s="5">
        <f t="shared" ref="AY7:BH7" si="41">SUM(AY4:AY6)</f>
        <v>0</v>
      </c>
      <c r="AZ7" s="5">
        <f t="shared" si="41"/>
        <v>0</v>
      </c>
      <c r="BA7" s="5">
        <f t="shared" si="41"/>
        <v>0</v>
      </c>
      <c r="BB7" s="5">
        <f t="shared" si="41"/>
        <v>0</v>
      </c>
      <c r="BC7" s="5">
        <f t="shared" si="41"/>
        <v>0</v>
      </c>
      <c r="BD7" s="5">
        <f t="shared" si="41"/>
        <v>0</v>
      </c>
      <c r="BE7" s="5">
        <f t="shared" si="41"/>
        <v>0</v>
      </c>
      <c r="BF7" s="5">
        <f t="shared" si="41"/>
        <v>0</v>
      </c>
      <c r="BG7" s="5">
        <f t="shared" si="41"/>
        <v>0</v>
      </c>
      <c r="BH7" s="5">
        <f t="shared" si="41"/>
        <v>0</v>
      </c>
      <c r="BI7" s="5">
        <f t="shared" si="39"/>
        <v>0</v>
      </c>
      <c r="BJ7" s="5">
        <f t="shared" si="13"/>
        <v>0</v>
      </c>
      <c r="BK7" s="5">
        <f t="shared" si="14"/>
        <v>0</v>
      </c>
      <c r="BL7" s="5">
        <f t="shared" si="15"/>
        <v>0</v>
      </c>
      <c r="BM7" s="5">
        <f t="shared" si="16"/>
        <v>0</v>
      </c>
      <c r="BN7" s="5">
        <f t="shared" si="17"/>
        <v>0</v>
      </c>
      <c r="BO7" s="5">
        <f t="shared" si="18"/>
        <v>0</v>
      </c>
      <c r="BP7" s="5">
        <f t="shared" si="19"/>
        <v>0</v>
      </c>
      <c r="BQ7" s="5">
        <f t="shared" si="20"/>
        <v>0</v>
      </c>
      <c r="BR7" s="5">
        <f t="shared" si="21"/>
        <v>0</v>
      </c>
      <c r="BS7" s="5">
        <f t="shared" si="22"/>
        <v>0</v>
      </c>
      <c r="BT7" s="5">
        <f t="shared" si="23"/>
        <v>0</v>
      </c>
      <c r="BU7" s="5">
        <f t="shared" si="40"/>
        <v>0</v>
      </c>
      <c r="BV7" s="5">
        <f t="shared" si="24"/>
        <v>0</v>
      </c>
      <c r="BW7" s="5">
        <f t="shared" si="25"/>
        <v>0</v>
      </c>
      <c r="BX7" s="5">
        <f t="shared" si="26"/>
        <v>0</v>
      </c>
      <c r="BY7" s="5">
        <f t="shared" si="27"/>
        <v>0</v>
      </c>
      <c r="BZ7" s="5">
        <f t="shared" si="28"/>
        <v>0</v>
      </c>
      <c r="CA7" s="5">
        <f t="shared" si="29"/>
        <v>0</v>
      </c>
      <c r="CB7" s="5">
        <f t="shared" si="30"/>
        <v>0</v>
      </c>
      <c r="CC7" s="5">
        <f t="shared" si="31"/>
        <v>0</v>
      </c>
      <c r="CD7" s="5">
        <f t="shared" si="32"/>
        <v>0</v>
      </c>
      <c r="CE7" s="5">
        <f t="shared" si="33"/>
        <v>0</v>
      </c>
      <c r="CF7" s="5">
        <f t="shared" si="34"/>
        <v>0</v>
      </c>
    </row>
    <row r="8" spans="2:84" s="4" customFormat="1" x14ac:dyDescent="0.2">
      <c r="B8" s="2"/>
      <c r="C8" s="4" t="s">
        <v>92</v>
      </c>
      <c r="E8" s="13"/>
      <c r="F8" s="45"/>
      <c r="G8" s="8">
        <f t="shared" si="35"/>
        <v>0</v>
      </c>
      <c r="H8" s="13"/>
      <c r="I8" s="45"/>
      <c r="J8" s="8">
        <f t="shared" ref="J8:J14" si="42">I8-H8</f>
        <v>0</v>
      </c>
      <c r="K8" s="13"/>
      <c r="L8" s="14"/>
      <c r="M8" s="8">
        <f t="shared" si="0"/>
        <v>0</v>
      </c>
      <c r="N8" s="35"/>
      <c r="O8" s="45"/>
      <c r="P8" s="8">
        <f t="shared" si="1"/>
        <v>0</v>
      </c>
      <c r="Q8" s="35"/>
      <c r="R8" s="45"/>
      <c r="S8" s="8">
        <f t="shared" si="2"/>
        <v>0</v>
      </c>
      <c r="T8" s="35"/>
      <c r="U8" s="14"/>
      <c r="V8" s="8">
        <f t="shared" si="3"/>
        <v>0</v>
      </c>
      <c r="W8" s="35"/>
      <c r="X8" s="45"/>
      <c r="Y8" s="8">
        <f t="shared" si="4"/>
        <v>0</v>
      </c>
      <c r="Z8" s="35"/>
      <c r="AA8" s="45"/>
      <c r="AB8" s="8">
        <f t="shared" si="5"/>
        <v>0</v>
      </c>
      <c r="AC8" s="35"/>
      <c r="AD8" s="45"/>
      <c r="AE8" s="8">
        <f t="shared" si="6"/>
        <v>0</v>
      </c>
      <c r="AF8" s="35"/>
      <c r="AG8" s="45"/>
      <c r="AH8" s="8">
        <f t="shared" si="7"/>
        <v>0</v>
      </c>
      <c r="AI8" s="13"/>
      <c r="AJ8" s="45"/>
      <c r="AK8" s="8">
        <f t="shared" si="8"/>
        <v>0</v>
      </c>
      <c r="AL8" s="13"/>
      <c r="AM8" s="45"/>
      <c r="AN8" s="8">
        <f t="shared" si="9"/>
        <v>0</v>
      </c>
      <c r="AO8" s="98">
        <f t="shared" si="10"/>
        <v>0</v>
      </c>
      <c r="AP8" s="80">
        <f t="shared" si="11"/>
        <v>0</v>
      </c>
      <c r="AQ8" s="22">
        <f t="shared" ref="AQ8:AQ14" si="43">AP8-AO8</f>
        <v>0</v>
      </c>
      <c r="AR8" s="7" t="str">
        <f t="shared" si="12"/>
        <v>LØNNINGER MV. I ALT</v>
      </c>
      <c r="AT8" s="22"/>
      <c r="AU8" s="88">
        <f t="shared" ref="AU8:AU14" si="44">INDEX(AW8:BH8,1,$I$1)</f>
        <v>0</v>
      </c>
      <c r="AV8" s="22">
        <f t="shared" ref="AV8:AV14" si="45">AU8-AT8</f>
        <v>0</v>
      </c>
      <c r="AW8" s="4">
        <f t="shared" ref="AW8:AW14" si="46">AL8+AI8+AF8+AC8+Z8+W8+T8+Q8+N8+K8+H8+F8</f>
        <v>0</v>
      </c>
      <c r="AX8" s="4">
        <f t="shared" ref="AX8:AX14" si="47">AL8+AI8+AF8+AC8+Z8+W8+T8+Q8+N8+K8+I8+F8</f>
        <v>0</v>
      </c>
      <c r="AY8" s="4">
        <f t="shared" ref="AY8:AY14" si="48">AL8+AI8+AF8+AC8+Z8+W8+T8+Q8+N8+L8+I8+F8</f>
        <v>0</v>
      </c>
      <c r="AZ8" s="4">
        <f t="shared" ref="AZ8:AZ14" si="49">AL8+AI8+AF8+AC8+Z8+W8+T8+Q8+O8+L8+I8+F8</f>
        <v>0</v>
      </c>
      <c r="BA8" s="4">
        <f t="shared" ref="BA8:BA14" si="50">AL8+AI8+AF8+AC8+Z8+W8+T8+R8+O8+L8+I8+F8</f>
        <v>0</v>
      </c>
      <c r="BB8" s="4">
        <f t="shared" ref="BB8:BB14" si="51">AL8+AI8+AF8+AC8+Z8+W8+U8+R8+O8+L8+I8+F8</f>
        <v>0</v>
      </c>
      <c r="BC8" s="4">
        <f t="shared" ref="BC8:BC14" si="52">AL8+AI8+AF8+AC8+Z8+X8+U8+R8+O8+L8+I8+F8</f>
        <v>0</v>
      </c>
      <c r="BD8" s="4">
        <f t="shared" ref="BD8:BD14" si="53">AL8+AI8+AF8+AC8+AA8+X8+U8+R8+O8+L8+I8+F8</f>
        <v>0</v>
      </c>
      <c r="BE8" s="4">
        <f t="shared" ref="BE8:BE14" si="54">AL8+AI8+AF8+AD8+AA8+X8+U8+R8+O8+L8+I8+F8</f>
        <v>0</v>
      </c>
      <c r="BF8" s="4">
        <f t="shared" ref="BF8:BF14" si="55">AL8+AI8+AG8+AD8+AA8+X8+U8+R8+O8+L8+I8+F8</f>
        <v>0</v>
      </c>
      <c r="BG8" s="4">
        <f t="shared" ref="BG8:BG14" si="56">AL8+AJ8+AG8+AD8+AA8+X8+U8+R8+O8+L8+I8+F8</f>
        <v>0</v>
      </c>
      <c r="BH8" s="4">
        <f t="shared" ref="BH8:BH14" si="57">AM8+AJ8+AG8+AD8+AA8+X8+U8+R8+O8+L8+I8+F8</f>
        <v>0</v>
      </c>
      <c r="BI8" s="4">
        <f t="shared" si="39"/>
        <v>0</v>
      </c>
      <c r="BJ8" s="4">
        <f t="shared" si="13"/>
        <v>0</v>
      </c>
      <c r="BK8" s="4">
        <f t="shared" si="14"/>
        <v>0</v>
      </c>
      <c r="BL8" s="4">
        <f t="shared" si="15"/>
        <v>0</v>
      </c>
      <c r="BM8" s="4">
        <f t="shared" si="16"/>
        <v>0</v>
      </c>
      <c r="BN8" s="4">
        <f t="shared" si="17"/>
        <v>0</v>
      </c>
      <c r="BO8" s="4">
        <f t="shared" si="18"/>
        <v>0</v>
      </c>
      <c r="BP8" s="4">
        <f t="shared" si="19"/>
        <v>0</v>
      </c>
      <c r="BQ8" s="4">
        <f t="shared" si="20"/>
        <v>0</v>
      </c>
      <c r="BR8" s="4">
        <f t="shared" si="21"/>
        <v>0</v>
      </c>
      <c r="BS8" s="4">
        <f t="shared" si="22"/>
        <v>0</v>
      </c>
      <c r="BT8" s="4">
        <f t="shared" si="23"/>
        <v>0</v>
      </c>
      <c r="BU8" s="4">
        <f t="shared" si="40"/>
        <v>0</v>
      </c>
      <c r="BV8" s="4">
        <f t="shared" si="24"/>
        <v>0</v>
      </c>
      <c r="BW8" s="4">
        <f t="shared" si="25"/>
        <v>0</v>
      </c>
      <c r="BX8" s="4">
        <f t="shared" si="26"/>
        <v>0</v>
      </c>
      <c r="BY8" s="4">
        <f t="shared" si="27"/>
        <v>0</v>
      </c>
      <c r="BZ8" s="4">
        <f t="shared" si="28"/>
        <v>0</v>
      </c>
      <c r="CA8" s="4">
        <f t="shared" si="29"/>
        <v>0</v>
      </c>
      <c r="CB8" s="4">
        <f t="shared" si="30"/>
        <v>0</v>
      </c>
      <c r="CC8" s="4">
        <f t="shared" si="31"/>
        <v>0</v>
      </c>
      <c r="CD8" s="4">
        <f t="shared" si="32"/>
        <v>0</v>
      </c>
      <c r="CE8" s="4">
        <f t="shared" si="33"/>
        <v>0</v>
      </c>
      <c r="CF8" s="4">
        <f t="shared" si="34"/>
        <v>0</v>
      </c>
    </row>
    <row r="9" spans="2:84" s="4" customFormat="1" x14ac:dyDescent="0.2">
      <c r="B9" s="2"/>
      <c r="C9" s="4" t="s">
        <v>93</v>
      </c>
      <c r="D9" s="4" t="s">
        <v>3</v>
      </c>
      <c r="E9" s="13"/>
      <c r="F9" s="45"/>
      <c r="G9" s="8">
        <f t="shared" si="35"/>
        <v>0</v>
      </c>
      <c r="H9" s="13"/>
      <c r="I9" s="45"/>
      <c r="J9" s="8">
        <f t="shared" si="42"/>
        <v>0</v>
      </c>
      <c r="K9" s="13"/>
      <c r="L9" s="45"/>
      <c r="M9" s="8">
        <f t="shared" si="0"/>
        <v>0</v>
      </c>
      <c r="N9" s="13"/>
      <c r="O9" s="45"/>
      <c r="P9" s="8">
        <f t="shared" si="1"/>
        <v>0</v>
      </c>
      <c r="Q9" s="13"/>
      <c r="R9" s="45"/>
      <c r="S9" s="8">
        <f t="shared" si="2"/>
        <v>0</v>
      </c>
      <c r="T9" s="13"/>
      <c r="U9" s="45"/>
      <c r="V9" s="8">
        <f t="shared" si="3"/>
        <v>0</v>
      </c>
      <c r="W9" s="13"/>
      <c r="X9" s="45"/>
      <c r="Y9" s="8">
        <f t="shared" si="4"/>
        <v>0</v>
      </c>
      <c r="Z9" s="13"/>
      <c r="AA9" s="45"/>
      <c r="AB9" s="8">
        <f t="shared" si="5"/>
        <v>0</v>
      </c>
      <c r="AC9" s="13"/>
      <c r="AD9" s="45"/>
      <c r="AE9" s="8">
        <f t="shared" si="6"/>
        <v>0</v>
      </c>
      <c r="AF9" s="13"/>
      <c r="AG9" s="45"/>
      <c r="AH9" s="8">
        <f t="shared" si="7"/>
        <v>0</v>
      </c>
      <c r="AI9" s="13"/>
      <c r="AJ9" s="45"/>
      <c r="AK9" s="8">
        <f t="shared" si="8"/>
        <v>0</v>
      </c>
      <c r="AL9" s="13"/>
      <c r="AM9" s="45"/>
      <c r="AN9" s="8">
        <f t="shared" si="9"/>
        <v>0</v>
      </c>
      <c r="AO9" s="98">
        <f t="shared" si="10"/>
        <v>0</v>
      </c>
      <c r="AP9" s="80">
        <f t="shared" si="11"/>
        <v>0</v>
      </c>
      <c r="AQ9" s="22">
        <f t="shared" si="43"/>
        <v>0</v>
      </c>
      <c r="AR9" s="7" t="str">
        <f t="shared" si="12"/>
        <v>SALGSOMKOSTNINGER</v>
      </c>
      <c r="AT9" s="22"/>
      <c r="AU9" s="88">
        <f t="shared" si="44"/>
        <v>0</v>
      </c>
      <c r="AV9" s="22">
        <f t="shared" si="45"/>
        <v>0</v>
      </c>
      <c r="AW9" s="4">
        <f t="shared" si="46"/>
        <v>0</v>
      </c>
      <c r="AX9" s="4">
        <f t="shared" si="47"/>
        <v>0</v>
      </c>
      <c r="AY9" s="4">
        <f t="shared" si="48"/>
        <v>0</v>
      </c>
      <c r="AZ9" s="4">
        <f t="shared" si="49"/>
        <v>0</v>
      </c>
      <c r="BA9" s="4">
        <f t="shared" si="50"/>
        <v>0</v>
      </c>
      <c r="BB9" s="4">
        <f t="shared" si="51"/>
        <v>0</v>
      </c>
      <c r="BC9" s="4">
        <f t="shared" si="52"/>
        <v>0</v>
      </c>
      <c r="BD9" s="4">
        <f t="shared" si="53"/>
        <v>0</v>
      </c>
      <c r="BE9" s="4">
        <f t="shared" si="54"/>
        <v>0</v>
      </c>
      <c r="BF9" s="4">
        <f t="shared" si="55"/>
        <v>0</v>
      </c>
      <c r="BG9" s="4">
        <f t="shared" si="56"/>
        <v>0</v>
      </c>
      <c r="BH9" s="4">
        <f t="shared" si="57"/>
        <v>0</v>
      </c>
      <c r="BI9" s="4">
        <f t="shared" si="39"/>
        <v>0</v>
      </c>
      <c r="BJ9" s="4">
        <f t="shared" si="13"/>
        <v>0</v>
      </c>
      <c r="BK9" s="4">
        <f t="shared" si="14"/>
        <v>0</v>
      </c>
      <c r="BL9" s="4">
        <f t="shared" si="15"/>
        <v>0</v>
      </c>
      <c r="BM9" s="4">
        <f t="shared" si="16"/>
        <v>0</v>
      </c>
      <c r="BN9" s="4">
        <f t="shared" si="17"/>
        <v>0</v>
      </c>
      <c r="BO9" s="4">
        <f t="shared" si="18"/>
        <v>0</v>
      </c>
      <c r="BP9" s="4">
        <f t="shared" si="19"/>
        <v>0</v>
      </c>
      <c r="BQ9" s="4">
        <f t="shared" si="20"/>
        <v>0</v>
      </c>
      <c r="BR9" s="4">
        <f t="shared" si="21"/>
        <v>0</v>
      </c>
      <c r="BS9" s="4">
        <f t="shared" si="22"/>
        <v>0</v>
      </c>
      <c r="BT9" s="4">
        <f t="shared" si="23"/>
        <v>0</v>
      </c>
      <c r="BU9" s="4">
        <f t="shared" si="40"/>
        <v>0</v>
      </c>
      <c r="BV9" s="4">
        <f t="shared" si="24"/>
        <v>0</v>
      </c>
      <c r="BW9" s="4">
        <f t="shared" si="25"/>
        <v>0</v>
      </c>
      <c r="BX9" s="4">
        <f t="shared" si="26"/>
        <v>0</v>
      </c>
      <c r="BY9" s="4">
        <f t="shared" si="27"/>
        <v>0</v>
      </c>
      <c r="BZ9" s="4">
        <f t="shared" si="28"/>
        <v>0</v>
      </c>
      <c r="CA9" s="4">
        <f t="shared" si="29"/>
        <v>0</v>
      </c>
      <c r="CB9" s="4">
        <f t="shared" si="30"/>
        <v>0</v>
      </c>
      <c r="CC9" s="4">
        <f t="shared" si="31"/>
        <v>0</v>
      </c>
      <c r="CD9" s="4">
        <f t="shared" si="32"/>
        <v>0</v>
      </c>
      <c r="CE9" s="4">
        <f t="shared" si="33"/>
        <v>0</v>
      </c>
      <c r="CF9" s="4">
        <f t="shared" si="34"/>
        <v>0</v>
      </c>
    </row>
    <row r="10" spans="2:84" s="4" customFormat="1" x14ac:dyDescent="0.2">
      <c r="B10" s="2"/>
      <c r="C10" s="4" t="s">
        <v>94</v>
      </c>
      <c r="D10" s="4" t="s">
        <v>3</v>
      </c>
      <c r="E10" s="13"/>
      <c r="F10" s="45"/>
      <c r="G10" s="8">
        <f t="shared" si="35"/>
        <v>0</v>
      </c>
      <c r="H10" s="13"/>
      <c r="I10" s="45"/>
      <c r="J10" s="8">
        <f t="shared" si="42"/>
        <v>0</v>
      </c>
      <c r="K10" s="13"/>
      <c r="L10" s="45"/>
      <c r="M10" s="8">
        <f t="shared" si="0"/>
        <v>0</v>
      </c>
      <c r="N10" s="13"/>
      <c r="O10" s="45"/>
      <c r="P10" s="8">
        <f t="shared" si="1"/>
        <v>0</v>
      </c>
      <c r="Q10" s="13"/>
      <c r="R10" s="45"/>
      <c r="S10" s="8">
        <f t="shared" si="2"/>
        <v>0</v>
      </c>
      <c r="T10" s="13"/>
      <c r="U10" s="45"/>
      <c r="V10" s="8">
        <f t="shared" si="3"/>
        <v>0</v>
      </c>
      <c r="W10" s="13"/>
      <c r="X10" s="45"/>
      <c r="Y10" s="8">
        <f t="shared" si="4"/>
        <v>0</v>
      </c>
      <c r="Z10" s="13"/>
      <c r="AA10" s="45"/>
      <c r="AB10" s="8">
        <f t="shared" si="5"/>
        <v>0</v>
      </c>
      <c r="AC10" s="13"/>
      <c r="AD10" s="45"/>
      <c r="AE10" s="8">
        <f t="shared" si="6"/>
        <v>0</v>
      </c>
      <c r="AF10" s="13"/>
      <c r="AG10" s="45"/>
      <c r="AH10" s="8">
        <f t="shared" si="7"/>
        <v>0</v>
      </c>
      <c r="AI10" s="13"/>
      <c r="AJ10" s="45"/>
      <c r="AK10" s="8">
        <f t="shared" si="8"/>
        <v>0</v>
      </c>
      <c r="AL10" s="13"/>
      <c r="AM10" s="45"/>
      <c r="AN10" s="8">
        <f t="shared" si="9"/>
        <v>0</v>
      </c>
      <c r="AO10" s="98">
        <f t="shared" si="10"/>
        <v>0</v>
      </c>
      <c r="AP10" s="80">
        <f t="shared" si="11"/>
        <v>0</v>
      </c>
      <c r="AQ10" s="22">
        <f t="shared" si="43"/>
        <v>0</v>
      </c>
      <c r="AR10" s="7" t="str">
        <f t="shared" si="12"/>
        <v>LOKALEOMKOSTNINGER</v>
      </c>
      <c r="AT10" s="22"/>
      <c r="AU10" s="88">
        <f t="shared" si="44"/>
        <v>0</v>
      </c>
      <c r="AV10" s="22">
        <f t="shared" si="45"/>
        <v>0</v>
      </c>
      <c r="AW10" s="4">
        <f t="shared" si="46"/>
        <v>0</v>
      </c>
      <c r="AX10" s="4">
        <f t="shared" si="47"/>
        <v>0</v>
      </c>
      <c r="AY10" s="4">
        <f t="shared" si="48"/>
        <v>0</v>
      </c>
      <c r="AZ10" s="4">
        <f t="shared" si="49"/>
        <v>0</v>
      </c>
      <c r="BA10" s="4">
        <f t="shared" si="50"/>
        <v>0</v>
      </c>
      <c r="BB10" s="4">
        <f t="shared" si="51"/>
        <v>0</v>
      </c>
      <c r="BC10" s="4">
        <f t="shared" si="52"/>
        <v>0</v>
      </c>
      <c r="BD10" s="4">
        <f t="shared" si="53"/>
        <v>0</v>
      </c>
      <c r="BE10" s="4">
        <f t="shared" si="54"/>
        <v>0</v>
      </c>
      <c r="BF10" s="4">
        <f t="shared" si="55"/>
        <v>0</v>
      </c>
      <c r="BG10" s="4">
        <f t="shared" si="56"/>
        <v>0</v>
      </c>
      <c r="BH10" s="4">
        <f t="shared" si="57"/>
        <v>0</v>
      </c>
      <c r="BI10" s="4">
        <f t="shared" si="39"/>
        <v>0</v>
      </c>
      <c r="BJ10" s="4">
        <f t="shared" si="13"/>
        <v>0</v>
      </c>
      <c r="BK10" s="4">
        <f t="shared" si="14"/>
        <v>0</v>
      </c>
      <c r="BL10" s="4">
        <f t="shared" si="15"/>
        <v>0</v>
      </c>
      <c r="BM10" s="4">
        <f t="shared" si="16"/>
        <v>0</v>
      </c>
      <c r="BN10" s="4">
        <f t="shared" si="17"/>
        <v>0</v>
      </c>
      <c r="BO10" s="4">
        <f t="shared" si="18"/>
        <v>0</v>
      </c>
      <c r="BP10" s="4">
        <f t="shared" si="19"/>
        <v>0</v>
      </c>
      <c r="BQ10" s="4">
        <f t="shared" si="20"/>
        <v>0</v>
      </c>
      <c r="BR10" s="4">
        <f t="shared" si="21"/>
        <v>0</v>
      </c>
      <c r="BS10" s="4">
        <f t="shared" si="22"/>
        <v>0</v>
      </c>
      <c r="BT10" s="4">
        <f t="shared" si="23"/>
        <v>0</v>
      </c>
      <c r="BU10" s="4">
        <f t="shared" si="40"/>
        <v>0</v>
      </c>
      <c r="BV10" s="4">
        <f t="shared" si="24"/>
        <v>0</v>
      </c>
      <c r="BW10" s="4">
        <f t="shared" si="25"/>
        <v>0</v>
      </c>
      <c r="BX10" s="4">
        <f t="shared" si="26"/>
        <v>0</v>
      </c>
      <c r="BY10" s="4">
        <f t="shared" si="27"/>
        <v>0</v>
      </c>
      <c r="BZ10" s="4">
        <f t="shared" si="28"/>
        <v>0</v>
      </c>
      <c r="CA10" s="4">
        <f t="shared" si="29"/>
        <v>0</v>
      </c>
      <c r="CB10" s="4">
        <f t="shared" si="30"/>
        <v>0</v>
      </c>
      <c r="CC10" s="4">
        <f t="shared" si="31"/>
        <v>0</v>
      </c>
      <c r="CD10" s="4">
        <f t="shared" si="32"/>
        <v>0</v>
      </c>
      <c r="CE10" s="4">
        <f t="shared" si="33"/>
        <v>0</v>
      </c>
      <c r="CF10" s="4">
        <f t="shared" si="34"/>
        <v>0</v>
      </c>
    </row>
    <row r="11" spans="2:84" s="4" customFormat="1" x14ac:dyDescent="0.2">
      <c r="B11" s="2"/>
      <c r="C11" s="4" t="s">
        <v>95</v>
      </c>
      <c r="D11" s="4" t="s">
        <v>3</v>
      </c>
      <c r="E11" s="13"/>
      <c r="F11" s="45"/>
      <c r="G11" s="8">
        <f t="shared" si="35"/>
        <v>0</v>
      </c>
      <c r="H11" s="13"/>
      <c r="I11" s="45"/>
      <c r="J11" s="8">
        <f t="shared" si="42"/>
        <v>0</v>
      </c>
      <c r="K11" s="13"/>
      <c r="L11" s="45"/>
      <c r="M11" s="8">
        <f t="shared" si="0"/>
        <v>0</v>
      </c>
      <c r="N11" s="13"/>
      <c r="O11" s="45"/>
      <c r="P11" s="8">
        <f t="shared" si="1"/>
        <v>0</v>
      </c>
      <c r="Q11" s="13"/>
      <c r="R11" s="45"/>
      <c r="S11" s="8">
        <f t="shared" si="2"/>
        <v>0</v>
      </c>
      <c r="T11" s="13"/>
      <c r="U11" s="45"/>
      <c r="V11" s="8">
        <f t="shared" si="3"/>
        <v>0</v>
      </c>
      <c r="W11" s="13"/>
      <c r="X11" s="45"/>
      <c r="Y11" s="8">
        <f t="shared" si="4"/>
        <v>0</v>
      </c>
      <c r="Z11" s="13"/>
      <c r="AA11" s="45"/>
      <c r="AB11" s="8">
        <f t="shared" si="5"/>
        <v>0</v>
      </c>
      <c r="AC11" s="13"/>
      <c r="AD11" s="45"/>
      <c r="AE11" s="8">
        <f t="shared" si="6"/>
        <v>0</v>
      </c>
      <c r="AF11" s="13"/>
      <c r="AG11" s="45"/>
      <c r="AH11" s="8">
        <f t="shared" si="7"/>
        <v>0</v>
      </c>
      <c r="AI11" s="13"/>
      <c r="AJ11" s="45"/>
      <c r="AK11" s="8">
        <f t="shared" si="8"/>
        <v>0</v>
      </c>
      <c r="AL11" s="13"/>
      <c r="AM11" s="45"/>
      <c r="AN11" s="8">
        <f t="shared" si="9"/>
        <v>0</v>
      </c>
      <c r="AO11" s="98">
        <f t="shared" si="10"/>
        <v>0</v>
      </c>
      <c r="AP11" s="80">
        <f t="shared" si="11"/>
        <v>0</v>
      </c>
      <c r="AQ11" s="22">
        <f t="shared" si="43"/>
        <v>0</v>
      </c>
      <c r="AR11" s="7" t="str">
        <f t="shared" si="12"/>
        <v>TRANSPORTOMKOSTNINGER</v>
      </c>
      <c r="AT11" s="22"/>
      <c r="AU11" s="88">
        <f t="shared" si="44"/>
        <v>0</v>
      </c>
      <c r="AV11" s="22">
        <f t="shared" si="45"/>
        <v>0</v>
      </c>
      <c r="AW11" s="4">
        <f t="shared" si="46"/>
        <v>0</v>
      </c>
      <c r="AX11" s="4">
        <f t="shared" si="47"/>
        <v>0</v>
      </c>
      <c r="AY11" s="4">
        <f t="shared" si="48"/>
        <v>0</v>
      </c>
      <c r="AZ11" s="4">
        <f t="shared" si="49"/>
        <v>0</v>
      </c>
      <c r="BA11" s="4">
        <f t="shared" si="50"/>
        <v>0</v>
      </c>
      <c r="BB11" s="4">
        <f t="shared" si="51"/>
        <v>0</v>
      </c>
      <c r="BC11" s="4">
        <f t="shared" si="52"/>
        <v>0</v>
      </c>
      <c r="BD11" s="4">
        <f t="shared" si="53"/>
        <v>0</v>
      </c>
      <c r="BE11" s="4">
        <f t="shared" si="54"/>
        <v>0</v>
      </c>
      <c r="BF11" s="4">
        <f t="shared" si="55"/>
        <v>0</v>
      </c>
      <c r="BG11" s="4">
        <f t="shared" si="56"/>
        <v>0</v>
      </c>
      <c r="BH11" s="4">
        <f t="shared" si="57"/>
        <v>0</v>
      </c>
      <c r="BI11" s="4">
        <f t="shared" si="39"/>
        <v>0</v>
      </c>
      <c r="BJ11" s="4">
        <f t="shared" si="13"/>
        <v>0</v>
      </c>
      <c r="BK11" s="4">
        <f t="shared" si="14"/>
        <v>0</v>
      </c>
      <c r="BL11" s="4">
        <f t="shared" si="15"/>
        <v>0</v>
      </c>
      <c r="BM11" s="4">
        <f t="shared" si="16"/>
        <v>0</v>
      </c>
      <c r="BN11" s="4">
        <f t="shared" si="17"/>
        <v>0</v>
      </c>
      <c r="BO11" s="4">
        <f t="shared" si="18"/>
        <v>0</v>
      </c>
      <c r="BP11" s="4">
        <f t="shared" si="19"/>
        <v>0</v>
      </c>
      <c r="BQ11" s="4">
        <f t="shared" si="20"/>
        <v>0</v>
      </c>
      <c r="BR11" s="4">
        <f t="shared" si="21"/>
        <v>0</v>
      </c>
      <c r="BS11" s="4">
        <f t="shared" si="22"/>
        <v>0</v>
      </c>
      <c r="BT11" s="4">
        <f t="shared" si="23"/>
        <v>0</v>
      </c>
      <c r="BU11" s="4">
        <f t="shared" si="40"/>
        <v>0</v>
      </c>
      <c r="BV11" s="4">
        <f t="shared" si="24"/>
        <v>0</v>
      </c>
      <c r="BW11" s="4">
        <f t="shared" si="25"/>
        <v>0</v>
      </c>
      <c r="BX11" s="4">
        <f t="shared" si="26"/>
        <v>0</v>
      </c>
      <c r="BY11" s="4">
        <f t="shared" si="27"/>
        <v>0</v>
      </c>
      <c r="BZ11" s="4">
        <f t="shared" si="28"/>
        <v>0</v>
      </c>
      <c r="CA11" s="4">
        <f t="shared" si="29"/>
        <v>0</v>
      </c>
      <c r="CB11" s="4">
        <f t="shared" si="30"/>
        <v>0</v>
      </c>
      <c r="CC11" s="4">
        <f t="shared" si="31"/>
        <v>0</v>
      </c>
      <c r="CD11" s="4">
        <f t="shared" si="32"/>
        <v>0</v>
      </c>
      <c r="CE11" s="4">
        <f t="shared" si="33"/>
        <v>0</v>
      </c>
      <c r="CF11" s="4">
        <f t="shared" si="34"/>
        <v>0</v>
      </c>
    </row>
    <row r="12" spans="2:84" s="4" customFormat="1" x14ac:dyDescent="0.2">
      <c r="B12" s="2"/>
      <c r="C12" s="4" t="s">
        <v>96</v>
      </c>
      <c r="D12" s="4" t="s">
        <v>3</v>
      </c>
      <c r="E12" s="13"/>
      <c r="F12" s="45"/>
      <c r="G12" s="8">
        <f t="shared" si="35"/>
        <v>0</v>
      </c>
      <c r="H12" s="13"/>
      <c r="I12" s="45"/>
      <c r="J12" s="8">
        <f t="shared" si="42"/>
        <v>0</v>
      </c>
      <c r="K12" s="13"/>
      <c r="L12" s="45"/>
      <c r="M12" s="8">
        <f t="shared" si="0"/>
        <v>0</v>
      </c>
      <c r="N12" s="13"/>
      <c r="O12" s="45"/>
      <c r="P12" s="8">
        <f t="shared" si="1"/>
        <v>0</v>
      </c>
      <c r="Q12" s="13"/>
      <c r="R12" s="45"/>
      <c r="S12" s="8">
        <f t="shared" si="2"/>
        <v>0</v>
      </c>
      <c r="T12" s="13"/>
      <c r="U12" s="45"/>
      <c r="V12" s="8">
        <f t="shared" si="3"/>
        <v>0</v>
      </c>
      <c r="W12" s="13"/>
      <c r="X12" s="45"/>
      <c r="Y12" s="8">
        <f t="shared" si="4"/>
        <v>0</v>
      </c>
      <c r="Z12" s="13"/>
      <c r="AA12" s="45"/>
      <c r="AB12" s="8">
        <f t="shared" si="5"/>
        <v>0</v>
      </c>
      <c r="AC12" s="13"/>
      <c r="AD12" s="45"/>
      <c r="AE12" s="8">
        <f t="shared" si="6"/>
        <v>0</v>
      </c>
      <c r="AF12" s="13"/>
      <c r="AG12" s="45"/>
      <c r="AH12" s="8">
        <f t="shared" si="7"/>
        <v>0</v>
      </c>
      <c r="AI12" s="13"/>
      <c r="AJ12" s="45"/>
      <c r="AK12" s="8">
        <f t="shared" si="8"/>
        <v>0</v>
      </c>
      <c r="AL12" s="13"/>
      <c r="AM12" s="45"/>
      <c r="AN12" s="8">
        <f t="shared" si="9"/>
        <v>0</v>
      </c>
      <c r="AO12" s="98">
        <f t="shared" si="10"/>
        <v>0</v>
      </c>
      <c r="AP12" s="80">
        <f t="shared" si="11"/>
        <v>0</v>
      </c>
      <c r="AQ12" s="22">
        <f t="shared" si="43"/>
        <v>0</v>
      </c>
      <c r="AR12" s="7" t="str">
        <f t="shared" si="12"/>
        <v>ADMINISTRATION</v>
      </c>
      <c r="AT12" s="22"/>
      <c r="AU12" s="88">
        <f t="shared" si="44"/>
        <v>0</v>
      </c>
      <c r="AV12" s="22">
        <f t="shared" si="45"/>
        <v>0</v>
      </c>
      <c r="AW12" s="4">
        <f t="shared" si="46"/>
        <v>0</v>
      </c>
      <c r="AX12" s="4">
        <f t="shared" si="47"/>
        <v>0</v>
      </c>
      <c r="AY12" s="4">
        <f t="shared" si="48"/>
        <v>0</v>
      </c>
      <c r="AZ12" s="4">
        <f t="shared" si="49"/>
        <v>0</v>
      </c>
      <c r="BA12" s="4">
        <f t="shared" si="50"/>
        <v>0</v>
      </c>
      <c r="BB12" s="4">
        <f t="shared" si="51"/>
        <v>0</v>
      </c>
      <c r="BC12" s="4">
        <f t="shared" si="52"/>
        <v>0</v>
      </c>
      <c r="BD12" s="4">
        <f t="shared" si="53"/>
        <v>0</v>
      </c>
      <c r="BE12" s="4">
        <f t="shared" si="54"/>
        <v>0</v>
      </c>
      <c r="BF12" s="4">
        <f t="shared" si="55"/>
        <v>0</v>
      </c>
      <c r="BG12" s="4">
        <f t="shared" si="56"/>
        <v>0</v>
      </c>
      <c r="BH12" s="4">
        <f t="shared" si="57"/>
        <v>0</v>
      </c>
      <c r="BI12" s="4">
        <f t="shared" si="39"/>
        <v>0</v>
      </c>
      <c r="BJ12" s="4">
        <f t="shared" si="13"/>
        <v>0</v>
      </c>
      <c r="BK12" s="4">
        <f t="shared" si="14"/>
        <v>0</v>
      </c>
      <c r="BL12" s="4">
        <f t="shared" si="15"/>
        <v>0</v>
      </c>
      <c r="BM12" s="4">
        <f t="shared" si="16"/>
        <v>0</v>
      </c>
      <c r="BN12" s="4">
        <f t="shared" si="17"/>
        <v>0</v>
      </c>
      <c r="BO12" s="4">
        <f t="shared" si="18"/>
        <v>0</v>
      </c>
      <c r="BP12" s="4">
        <f t="shared" si="19"/>
        <v>0</v>
      </c>
      <c r="BQ12" s="4">
        <f t="shared" si="20"/>
        <v>0</v>
      </c>
      <c r="BR12" s="4">
        <f t="shared" si="21"/>
        <v>0</v>
      </c>
      <c r="BS12" s="4">
        <f t="shared" si="22"/>
        <v>0</v>
      </c>
      <c r="BT12" s="4">
        <f t="shared" si="23"/>
        <v>0</v>
      </c>
      <c r="BU12" s="4">
        <f t="shared" si="40"/>
        <v>0</v>
      </c>
      <c r="BV12" s="4">
        <f t="shared" si="24"/>
        <v>0</v>
      </c>
      <c r="BW12" s="4">
        <f t="shared" si="25"/>
        <v>0</v>
      </c>
      <c r="BX12" s="4">
        <f t="shared" si="26"/>
        <v>0</v>
      </c>
      <c r="BY12" s="4">
        <f t="shared" si="27"/>
        <v>0</v>
      </c>
      <c r="BZ12" s="4">
        <f t="shared" si="28"/>
        <v>0</v>
      </c>
      <c r="CA12" s="4">
        <f t="shared" si="29"/>
        <v>0</v>
      </c>
      <c r="CB12" s="4">
        <f t="shared" si="30"/>
        <v>0</v>
      </c>
      <c r="CC12" s="4">
        <f t="shared" si="31"/>
        <v>0</v>
      </c>
      <c r="CD12" s="4">
        <f t="shared" si="32"/>
        <v>0</v>
      </c>
      <c r="CE12" s="4">
        <f t="shared" si="33"/>
        <v>0</v>
      </c>
      <c r="CF12" s="4">
        <f t="shared" si="34"/>
        <v>0</v>
      </c>
    </row>
    <row r="13" spans="2:84" s="4" customFormat="1" x14ac:dyDescent="0.2">
      <c r="B13" s="2"/>
      <c r="C13" s="4" t="s">
        <v>97</v>
      </c>
      <c r="D13" s="4" t="s">
        <v>3</v>
      </c>
      <c r="E13" s="13"/>
      <c r="F13" s="45"/>
      <c r="G13" s="8">
        <f t="shared" si="35"/>
        <v>0</v>
      </c>
      <c r="H13" s="13"/>
      <c r="I13" s="45"/>
      <c r="J13" s="8">
        <f t="shared" si="42"/>
        <v>0</v>
      </c>
      <c r="K13" s="13"/>
      <c r="L13" s="14"/>
      <c r="M13" s="8">
        <f t="shared" si="0"/>
        <v>0</v>
      </c>
      <c r="N13" s="13"/>
      <c r="O13" s="45"/>
      <c r="P13" s="8">
        <f t="shared" si="1"/>
        <v>0</v>
      </c>
      <c r="Q13" s="13"/>
      <c r="R13" s="45"/>
      <c r="S13" s="8">
        <f t="shared" si="2"/>
        <v>0</v>
      </c>
      <c r="T13" s="13"/>
      <c r="U13" s="14"/>
      <c r="V13" s="8">
        <f t="shared" si="3"/>
        <v>0</v>
      </c>
      <c r="W13" s="13"/>
      <c r="X13" s="45"/>
      <c r="Y13" s="8">
        <f t="shared" si="4"/>
        <v>0</v>
      </c>
      <c r="Z13" s="13"/>
      <c r="AA13" s="45"/>
      <c r="AB13" s="8">
        <f t="shared" si="5"/>
        <v>0</v>
      </c>
      <c r="AC13" s="13"/>
      <c r="AD13" s="45"/>
      <c r="AE13" s="8">
        <f t="shared" si="6"/>
        <v>0</v>
      </c>
      <c r="AF13" s="13"/>
      <c r="AG13" s="45"/>
      <c r="AH13" s="8">
        <f t="shared" si="7"/>
        <v>0</v>
      </c>
      <c r="AI13" s="13"/>
      <c r="AJ13" s="45"/>
      <c r="AK13" s="8">
        <f t="shared" si="8"/>
        <v>0</v>
      </c>
      <c r="AL13" s="13"/>
      <c r="AM13" s="45"/>
      <c r="AN13" s="8">
        <f t="shared" si="9"/>
        <v>0</v>
      </c>
      <c r="AO13" s="98">
        <f t="shared" si="10"/>
        <v>0</v>
      </c>
      <c r="AP13" s="80">
        <f t="shared" si="11"/>
        <v>0</v>
      </c>
      <c r="AQ13" s="22">
        <f t="shared" si="43"/>
        <v>0</v>
      </c>
      <c r="AR13" s="7" t="str">
        <f t="shared" si="12"/>
        <v>AFSKRIVNINGER (Småanskaffelser)</v>
      </c>
      <c r="AT13" s="22"/>
      <c r="AU13" s="88">
        <f t="shared" si="44"/>
        <v>0</v>
      </c>
      <c r="AV13" s="22">
        <f t="shared" si="45"/>
        <v>0</v>
      </c>
      <c r="AW13" s="4">
        <f t="shared" si="46"/>
        <v>0</v>
      </c>
      <c r="AX13" s="4">
        <f t="shared" si="47"/>
        <v>0</v>
      </c>
      <c r="AY13" s="4">
        <f t="shared" si="48"/>
        <v>0</v>
      </c>
      <c r="AZ13" s="4">
        <f t="shared" si="49"/>
        <v>0</v>
      </c>
      <c r="BA13" s="4">
        <f t="shared" si="50"/>
        <v>0</v>
      </c>
      <c r="BB13" s="4">
        <f t="shared" si="51"/>
        <v>0</v>
      </c>
      <c r="BC13" s="4">
        <f t="shared" si="52"/>
        <v>0</v>
      </c>
      <c r="BD13" s="4">
        <f t="shared" si="53"/>
        <v>0</v>
      </c>
      <c r="BE13" s="4">
        <f t="shared" si="54"/>
        <v>0</v>
      </c>
      <c r="BF13" s="4">
        <f t="shared" si="55"/>
        <v>0</v>
      </c>
      <c r="BG13" s="4">
        <f t="shared" si="56"/>
        <v>0</v>
      </c>
      <c r="BH13" s="4">
        <f t="shared" si="57"/>
        <v>0</v>
      </c>
      <c r="BI13" s="4">
        <f t="shared" si="39"/>
        <v>0</v>
      </c>
      <c r="BJ13" s="4">
        <f t="shared" si="13"/>
        <v>0</v>
      </c>
      <c r="BK13" s="4">
        <f t="shared" si="14"/>
        <v>0</v>
      </c>
      <c r="BL13" s="4">
        <f t="shared" si="15"/>
        <v>0</v>
      </c>
      <c r="BM13" s="4">
        <f t="shared" si="16"/>
        <v>0</v>
      </c>
      <c r="BN13" s="4">
        <f t="shared" si="17"/>
        <v>0</v>
      </c>
      <c r="BO13" s="4">
        <f t="shared" si="18"/>
        <v>0</v>
      </c>
      <c r="BP13" s="4">
        <f t="shared" si="19"/>
        <v>0</v>
      </c>
      <c r="BQ13" s="4">
        <f t="shared" si="20"/>
        <v>0</v>
      </c>
      <c r="BR13" s="4">
        <f t="shared" si="21"/>
        <v>0</v>
      </c>
      <c r="BS13" s="4">
        <f t="shared" si="22"/>
        <v>0</v>
      </c>
      <c r="BT13" s="4">
        <f t="shared" si="23"/>
        <v>0</v>
      </c>
      <c r="BU13" s="4">
        <f t="shared" si="40"/>
        <v>0</v>
      </c>
      <c r="BV13" s="4">
        <f t="shared" si="24"/>
        <v>0</v>
      </c>
      <c r="BW13" s="4">
        <f t="shared" si="25"/>
        <v>0</v>
      </c>
      <c r="BX13" s="4">
        <f t="shared" si="26"/>
        <v>0</v>
      </c>
      <c r="BY13" s="4">
        <f t="shared" si="27"/>
        <v>0</v>
      </c>
      <c r="BZ13" s="4">
        <f t="shared" si="28"/>
        <v>0</v>
      </c>
      <c r="CA13" s="4">
        <f t="shared" si="29"/>
        <v>0</v>
      </c>
      <c r="CB13" s="4">
        <f t="shared" si="30"/>
        <v>0</v>
      </c>
      <c r="CC13" s="4">
        <f t="shared" si="31"/>
        <v>0</v>
      </c>
      <c r="CD13" s="4">
        <f t="shared" si="32"/>
        <v>0</v>
      </c>
      <c r="CE13" s="4">
        <f t="shared" si="33"/>
        <v>0</v>
      </c>
      <c r="CF13" s="4">
        <f t="shared" si="34"/>
        <v>0</v>
      </c>
    </row>
    <row r="14" spans="2:84" s="4" customFormat="1" x14ac:dyDescent="0.2">
      <c r="B14" s="2"/>
      <c r="C14" s="4" t="s">
        <v>98</v>
      </c>
      <c r="E14" s="13"/>
      <c r="F14" s="45"/>
      <c r="G14" s="8">
        <f t="shared" si="35"/>
        <v>0</v>
      </c>
      <c r="H14" s="13"/>
      <c r="I14" s="45"/>
      <c r="J14" s="8">
        <f t="shared" si="42"/>
        <v>0</v>
      </c>
      <c r="K14" s="13"/>
      <c r="L14" s="14"/>
      <c r="M14" s="8">
        <f t="shared" si="0"/>
        <v>0</v>
      </c>
      <c r="N14" s="13"/>
      <c r="O14" s="45"/>
      <c r="P14" s="8">
        <f t="shared" si="1"/>
        <v>0</v>
      </c>
      <c r="Q14" s="13"/>
      <c r="R14" s="45"/>
      <c r="S14" s="8">
        <f t="shared" si="2"/>
        <v>0</v>
      </c>
      <c r="T14" s="13"/>
      <c r="U14" s="14"/>
      <c r="V14" s="8">
        <f t="shared" si="3"/>
        <v>0</v>
      </c>
      <c r="W14" s="13"/>
      <c r="X14" s="45"/>
      <c r="Y14" s="8">
        <f t="shared" si="4"/>
        <v>0</v>
      </c>
      <c r="Z14" s="13"/>
      <c r="AA14" s="45"/>
      <c r="AB14" s="8">
        <f t="shared" si="5"/>
        <v>0</v>
      </c>
      <c r="AC14" s="13"/>
      <c r="AD14" s="45"/>
      <c r="AE14" s="8">
        <f t="shared" si="6"/>
        <v>0</v>
      </c>
      <c r="AF14" s="13"/>
      <c r="AG14" s="45"/>
      <c r="AH14" s="8">
        <f t="shared" si="7"/>
        <v>0</v>
      </c>
      <c r="AI14" s="13"/>
      <c r="AJ14" s="45"/>
      <c r="AK14" s="8">
        <f t="shared" si="8"/>
        <v>0</v>
      </c>
      <c r="AL14" s="13"/>
      <c r="AM14" s="45"/>
      <c r="AN14" s="8">
        <f t="shared" si="9"/>
        <v>0</v>
      </c>
      <c r="AO14" s="98">
        <f t="shared" si="10"/>
        <v>0</v>
      </c>
      <c r="AP14" s="80">
        <f t="shared" si="11"/>
        <v>0</v>
      </c>
      <c r="AQ14" s="22">
        <f t="shared" si="43"/>
        <v>0</v>
      </c>
      <c r="AR14" s="7" t="str">
        <f t="shared" si="12"/>
        <v>RENTEUDGIFTER</v>
      </c>
      <c r="AT14" s="22"/>
      <c r="AU14" s="88">
        <f t="shared" si="44"/>
        <v>0</v>
      </c>
      <c r="AV14" s="22">
        <f t="shared" si="45"/>
        <v>0</v>
      </c>
      <c r="AW14" s="4">
        <f t="shared" si="46"/>
        <v>0</v>
      </c>
      <c r="AX14" s="4">
        <f t="shared" si="47"/>
        <v>0</v>
      </c>
      <c r="AY14" s="4">
        <f t="shared" si="48"/>
        <v>0</v>
      </c>
      <c r="AZ14" s="4">
        <f t="shared" si="49"/>
        <v>0</v>
      </c>
      <c r="BA14" s="4">
        <f t="shared" si="50"/>
        <v>0</v>
      </c>
      <c r="BB14" s="4">
        <f t="shared" si="51"/>
        <v>0</v>
      </c>
      <c r="BC14" s="4">
        <f t="shared" si="52"/>
        <v>0</v>
      </c>
      <c r="BD14" s="4">
        <f t="shared" si="53"/>
        <v>0</v>
      </c>
      <c r="BE14" s="4">
        <f t="shared" si="54"/>
        <v>0</v>
      </c>
      <c r="BF14" s="4">
        <f t="shared" si="55"/>
        <v>0</v>
      </c>
      <c r="BG14" s="4">
        <f t="shared" si="56"/>
        <v>0</v>
      </c>
      <c r="BH14" s="4">
        <f t="shared" si="57"/>
        <v>0</v>
      </c>
      <c r="BI14" s="4">
        <f t="shared" si="39"/>
        <v>0</v>
      </c>
      <c r="BJ14" s="4">
        <f t="shared" si="13"/>
        <v>0</v>
      </c>
      <c r="BK14" s="4">
        <f t="shared" si="14"/>
        <v>0</v>
      </c>
      <c r="BL14" s="4">
        <f t="shared" si="15"/>
        <v>0</v>
      </c>
      <c r="BM14" s="4">
        <f t="shared" si="16"/>
        <v>0</v>
      </c>
      <c r="BN14" s="4">
        <f t="shared" si="17"/>
        <v>0</v>
      </c>
      <c r="BO14" s="4">
        <f t="shared" si="18"/>
        <v>0</v>
      </c>
      <c r="BP14" s="4">
        <f t="shared" si="19"/>
        <v>0</v>
      </c>
      <c r="BQ14" s="4">
        <f t="shared" si="20"/>
        <v>0</v>
      </c>
      <c r="BR14" s="4">
        <f t="shared" si="21"/>
        <v>0</v>
      </c>
      <c r="BS14" s="4">
        <f t="shared" si="22"/>
        <v>0</v>
      </c>
      <c r="BT14" s="4">
        <f t="shared" si="23"/>
        <v>0</v>
      </c>
      <c r="BU14" s="4">
        <f t="shared" si="40"/>
        <v>0</v>
      </c>
      <c r="BV14" s="4">
        <f t="shared" si="24"/>
        <v>0</v>
      </c>
      <c r="BW14" s="4">
        <f t="shared" si="25"/>
        <v>0</v>
      </c>
      <c r="BX14" s="4">
        <f t="shared" si="26"/>
        <v>0</v>
      </c>
      <c r="BY14" s="4">
        <f t="shared" si="27"/>
        <v>0</v>
      </c>
      <c r="BZ14" s="4">
        <f t="shared" si="28"/>
        <v>0</v>
      </c>
      <c r="CA14" s="4">
        <f t="shared" si="29"/>
        <v>0</v>
      </c>
      <c r="CB14" s="4">
        <f t="shared" si="30"/>
        <v>0</v>
      </c>
      <c r="CC14" s="4">
        <f t="shared" si="31"/>
        <v>0</v>
      </c>
      <c r="CD14" s="4">
        <f t="shared" si="32"/>
        <v>0</v>
      </c>
      <c r="CE14" s="4">
        <f t="shared" si="33"/>
        <v>0</v>
      </c>
      <c r="CF14" s="4">
        <f t="shared" si="34"/>
        <v>0</v>
      </c>
    </row>
    <row r="15" spans="2:84" s="5" customFormat="1" x14ac:dyDescent="0.2">
      <c r="B15" s="10"/>
      <c r="C15" s="6" t="s">
        <v>105</v>
      </c>
      <c r="D15" s="6"/>
      <c r="E15" s="11">
        <f t="shared" ref="E15:AP15" si="58">SUM(E7:E14)</f>
        <v>0</v>
      </c>
      <c r="F15" s="6">
        <f t="shared" si="58"/>
        <v>0</v>
      </c>
      <c r="G15" s="12">
        <f t="shared" si="58"/>
        <v>0</v>
      </c>
      <c r="H15" s="11">
        <f t="shared" si="58"/>
        <v>0</v>
      </c>
      <c r="I15" s="6">
        <f t="shared" si="58"/>
        <v>0</v>
      </c>
      <c r="J15" s="12">
        <f t="shared" si="58"/>
        <v>0</v>
      </c>
      <c r="K15" s="11">
        <f t="shared" si="58"/>
        <v>0</v>
      </c>
      <c r="L15" s="6">
        <f t="shared" si="58"/>
        <v>0</v>
      </c>
      <c r="M15" s="12">
        <f t="shared" si="58"/>
        <v>0</v>
      </c>
      <c r="N15" s="11">
        <f t="shared" si="58"/>
        <v>0</v>
      </c>
      <c r="O15" s="6">
        <f t="shared" si="58"/>
        <v>0</v>
      </c>
      <c r="P15" s="12">
        <f t="shared" si="58"/>
        <v>0</v>
      </c>
      <c r="Q15" s="11">
        <f t="shared" si="58"/>
        <v>0</v>
      </c>
      <c r="R15" s="6">
        <f t="shared" si="58"/>
        <v>0</v>
      </c>
      <c r="S15" s="12">
        <f t="shared" si="58"/>
        <v>0</v>
      </c>
      <c r="T15" s="11">
        <f t="shared" si="58"/>
        <v>0</v>
      </c>
      <c r="U15" s="6">
        <f t="shared" si="58"/>
        <v>0</v>
      </c>
      <c r="V15" s="12">
        <f t="shared" si="58"/>
        <v>0</v>
      </c>
      <c r="W15" s="11">
        <f t="shared" si="58"/>
        <v>0</v>
      </c>
      <c r="X15" s="6">
        <f t="shared" si="58"/>
        <v>0</v>
      </c>
      <c r="Y15" s="12">
        <f t="shared" si="58"/>
        <v>0</v>
      </c>
      <c r="Z15" s="11">
        <f t="shared" si="58"/>
        <v>0</v>
      </c>
      <c r="AA15" s="6">
        <f>SUM(AA7:AA14)</f>
        <v>0</v>
      </c>
      <c r="AB15" s="12">
        <f t="shared" si="58"/>
        <v>0</v>
      </c>
      <c r="AC15" s="11">
        <f t="shared" si="58"/>
        <v>0</v>
      </c>
      <c r="AD15" s="6">
        <f t="shared" si="58"/>
        <v>0</v>
      </c>
      <c r="AE15" s="12">
        <f t="shared" si="58"/>
        <v>0</v>
      </c>
      <c r="AF15" s="11">
        <f t="shared" si="58"/>
        <v>0</v>
      </c>
      <c r="AG15" s="6">
        <f t="shared" si="58"/>
        <v>0</v>
      </c>
      <c r="AH15" s="12">
        <f t="shared" si="58"/>
        <v>0</v>
      </c>
      <c r="AI15" s="11">
        <f t="shared" si="58"/>
        <v>0</v>
      </c>
      <c r="AJ15" s="6">
        <f t="shared" si="58"/>
        <v>0</v>
      </c>
      <c r="AK15" s="12">
        <f t="shared" si="58"/>
        <v>0</v>
      </c>
      <c r="AL15" s="11">
        <f t="shared" si="58"/>
        <v>0</v>
      </c>
      <c r="AM15" s="6">
        <f t="shared" si="58"/>
        <v>0</v>
      </c>
      <c r="AN15" s="12">
        <f t="shared" si="58"/>
        <v>0</v>
      </c>
      <c r="AO15" s="76">
        <f t="shared" si="58"/>
        <v>0</v>
      </c>
      <c r="AP15" s="78">
        <f t="shared" si="58"/>
        <v>0</v>
      </c>
      <c r="AQ15" s="11">
        <f>SUM(AQ7:AQ14)</f>
        <v>0</v>
      </c>
      <c r="AR15" s="11" t="str">
        <f>C15</f>
        <v>RESULTAT</v>
      </c>
      <c r="AS15" s="6"/>
      <c r="AT15" s="17">
        <f>SUM(AT7:AT14)</f>
        <v>0</v>
      </c>
      <c r="AU15" s="89">
        <f>SUM(AU7:AU14)</f>
        <v>0</v>
      </c>
      <c r="AV15" s="17">
        <f>SUM(AV7:AV14)</f>
        <v>0</v>
      </c>
      <c r="AW15" s="11">
        <f>SUM(AW7:AW14)</f>
        <v>0</v>
      </c>
      <c r="AX15" s="6">
        <f>SUM(AX7:AX14)</f>
        <v>0</v>
      </c>
      <c r="AY15" s="6">
        <f t="shared" ref="AY15:BH15" si="59">SUM(AY7:AY14)</f>
        <v>0</v>
      </c>
      <c r="AZ15" s="6">
        <f t="shared" si="59"/>
        <v>0</v>
      </c>
      <c r="BA15" s="6">
        <f t="shared" si="59"/>
        <v>0</v>
      </c>
      <c r="BB15" s="6">
        <f t="shared" si="59"/>
        <v>0</v>
      </c>
      <c r="BC15" s="6">
        <f t="shared" si="59"/>
        <v>0</v>
      </c>
      <c r="BD15" s="6">
        <f t="shared" si="59"/>
        <v>0</v>
      </c>
      <c r="BE15" s="6">
        <f t="shared" si="59"/>
        <v>0</v>
      </c>
      <c r="BF15" s="6">
        <f t="shared" si="59"/>
        <v>0</v>
      </c>
      <c r="BG15" s="6">
        <f t="shared" si="59"/>
        <v>0</v>
      </c>
      <c r="BH15" s="6">
        <f t="shared" si="59"/>
        <v>0</v>
      </c>
      <c r="BI15" s="6">
        <f t="shared" si="39"/>
        <v>0</v>
      </c>
      <c r="BJ15" s="6">
        <f t="shared" si="13"/>
        <v>0</v>
      </c>
      <c r="BK15" s="6">
        <f t="shared" si="14"/>
        <v>0</v>
      </c>
      <c r="BL15" s="6">
        <f t="shared" si="15"/>
        <v>0</v>
      </c>
      <c r="BM15" s="6">
        <f t="shared" si="16"/>
        <v>0</v>
      </c>
      <c r="BN15" s="6">
        <f t="shared" si="17"/>
        <v>0</v>
      </c>
      <c r="BO15" s="6">
        <f t="shared" si="18"/>
        <v>0</v>
      </c>
      <c r="BP15" s="6">
        <f t="shared" si="19"/>
        <v>0</v>
      </c>
      <c r="BQ15" s="6">
        <f t="shared" si="20"/>
        <v>0</v>
      </c>
      <c r="BR15" s="6">
        <f t="shared" si="21"/>
        <v>0</v>
      </c>
      <c r="BS15" s="6">
        <f t="shared" si="22"/>
        <v>0</v>
      </c>
      <c r="BT15" s="6">
        <f t="shared" si="23"/>
        <v>0</v>
      </c>
      <c r="BU15" s="6">
        <f t="shared" si="40"/>
        <v>0</v>
      </c>
      <c r="BV15" s="6">
        <f t="shared" si="24"/>
        <v>0</v>
      </c>
      <c r="BW15" s="6">
        <f t="shared" si="25"/>
        <v>0</v>
      </c>
      <c r="BX15" s="6">
        <f t="shared" si="26"/>
        <v>0</v>
      </c>
      <c r="BY15" s="6">
        <f t="shared" si="27"/>
        <v>0</v>
      </c>
      <c r="BZ15" s="6">
        <f t="shared" si="28"/>
        <v>0</v>
      </c>
      <c r="CA15" s="6">
        <f t="shared" si="29"/>
        <v>0</v>
      </c>
      <c r="CB15" s="6">
        <f t="shared" si="30"/>
        <v>0</v>
      </c>
      <c r="CC15" s="6">
        <f t="shared" si="31"/>
        <v>0</v>
      </c>
      <c r="CD15" s="6">
        <f t="shared" si="32"/>
        <v>0</v>
      </c>
      <c r="CE15" s="6">
        <f t="shared" si="33"/>
        <v>0</v>
      </c>
      <c r="CF15" s="6">
        <f t="shared" si="34"/>
        <v>0</v>
      </c>
    </row>
    <row r="16" spans="2:84" s="4" customFormat="1" hidden="1" x14ac:dyDescent="0.2">
      <c r="B16" s="5" t="s">
        <v>7</v>
      </c>
      <c r="D16" s="16"/>
      <c r="E16" s="7"/>
      <c r="G16" s="8">
        <f t="shared" ref="G16:G26" si="60">F16-E16</f>
        <v>0</v>
      </c>
      <c r="H16" s="7"/>
      <c r="J16" s="8">
        <f t="shared" ref="J16:J26" si="61">I16-H16</f>
        <v>0</v>
      </c>
      <c r="K16" s="7"/>
      <c r="M16" s="8">
        <f t="shared" ref="M16:M23" si="62">L16-K16</f>
        <v>0</v>
      </c>
      <c r="N16" s="7"/>
      <c r="P16" s="8">
        <f t="shared" ref="P16:P23" si="63">O16-N16</f>
        <v>0</v>
      </c>
      <c r="Q16" s="7"/>
      <c r="S16" s="8">
        <f t="shared" ref="S16:S23" si="64">R16-Q16</f>
        <v>0</v>
      </c>
      <c r="T16" s="7"/>
      <c r="V16" s="8">
        <f t="shared" ref="V16:V23" si="65">U16-T16</f>
        <v>0</v>
      </c>
      <c r="W16" s="7"/>
      <c r="Y16" s="8">
        <f t="shared" ref="Y16:Y26" si="66">X16-W16</f>
        <v>0</v>
      </c>
      <c r="Z16" s="7"/>
      <c r="AB16" s="8">
        <f t="shared" ref="AB16:AB26" si="67">AA16-Z16</f>
        <v>0</v>
      </c>
      <c r="AC16" s="7"/>
      <c r="AE16" s="8">
        <f t="shared" ref="AE16:AE26" si="68">AD16-AC16</f>
        <v>0</v>
      </c>
      <c r="AF16" s="7"/>
      <c r="AH16" s="8">
        <f t="shared" ref="AH16:AH26" si="69">AG16-AF16</f>
        <v>0</v>
      </c>
      <c r="AI16" s="7"/>
      <c r="AK16" s="8">
        <f t="shared" ref="AK16:AK26" si="70">AJ16-AI16</f>
        <v>0</v>
      </c>
      <c r="AL16" s="7"/>
      <c r="AN16" s="8">
        <f t="shared" ref="AN16:AN26" si="71">AM16-AL16</f>
        <v>0</v>
      </c>
      <c r="AO16" s="74">
        <f t="shared" ref="AO16:AP24" si="72">AL16+AI16+AF16+AC16+Z16+W16+T16+Q16+N16+K16+H16+E16</f>
        <v>0</v>
      </c>
      <c r="AP16" s="79"/>
      <c r="AQ16" s="22"/>
      <c r="AR16" s="7"/>
      <c r="AT16" s="22">
        <v>0</v>
      </c>
      <c r="AU16" s="88"/>
      <c r="AV16" s="22"/>
    </row>
    <row r="17" spans="1:94" s="4" customFormat="1" hidden="1" x14ac:dyDescent="0.2">
      <c r="B17" s="2"/>
      <c r="C17" s="4" t="s">
        <v>83</v>
      </c>
      <c r="D17" s="4" t="s">
        <v>3</v>
      </c>
      <c r="E17" s="36">
        <f>D33-E33</f>
        <v>0</v>
      </c>
      <c r="F17" s="4">
        <f>D33-F33</f>
        <v>0</v>
      </c>
      <c r="G17" s="8">
        <f t="shared" si="60"/>
        <v>0</v>
      </c>
      <c r="H17" s="7">
        <f>E33-H33</f>
        <v>0</v>
      </c>
      <c r="I17" s="4">
        <f>F33-I33</f>
        <v>0</v>
      </c>
      <c r="J17" s="8">
        <f t="shared" si="61"/>
        <v>0</v>
      </c>
      <c r="K17" s="7">
        <f>H33-K33</f>
        <v>0</v>
      </c>
      <c r="L17" s="4">
        <f>I33-L33</f>
        <v>0</v>
      </c>
      <c r="M17" s="8">
        <f t="shared" si="62"/>
        <v>0</v>
      </c>
      <c r="N17" s="7">
        <f>K33-N33</f>
        <v>0</v>
      </c>
      <c r="O17" s="4">
        <f>L33-O33</f>
        <v>0</v>
      </c>
      <c r="P17" s="8">
        <f t="shared" si="63"/>
        <v>0</v>
      </c>
      <c r="Q17" s="7">
        <f>N33-Q33</f>
        <v>0</v>
      </c>
      <c r="R17" s="4">
        <f>O33-R33</f>
        <v>0</v>
      </c>
      <c r="S17" s="8">
        <f t="shared" si="64"/>
        <v>0</v>
      </c>
      <c r="T17" s="7">
        <f>Q33-T33</f>
        <v>0</v>
      </c>
      <c r="U17" s="4">
        <f>R33-U33</f>
        <v>0</v>
      </c>
      <c r="V17" s="8">
        <f t="shared" si="65"/>
        <v>0</v>
      </c>
      <c r="W17" s="7">
        <f>T33-W33</f>
        <v>0</v>
      </c>
      <c r="X17" s="4">
        <f>U33-X33</f>
        <v>0</v>
      </c>
      <c r="Y17" s="8">
        <f t="shared" si="66"/>
        <v>0</v>
      </c>
      <c r="Z17" s="7">
        <f>W33-Z33</f>
        <v>0</v>
      </c>
      <c r="AA17" s="4">
        <f>X33-AA33</f>
        <v>0</v>
      </c>
      <c r="AB17" s="8">
        <f t="shared" si="67"/>
        <v>0</v>
      </c>
      <c r="AC17" s="7">
        <f>Z33-AC33</f>
        <v>0</v>
      </c>
      <c r="AD17" s="4">
        <f>AA33-AD33</f>
        <v>0</v>
      </c>
      <c r="AE17" s="8">
        <f t="shared" si="68"/>
        <v>0</v>
      </c>
      <c r="AF17" s="7">
        <f>AC33-AF33</f>
        <v>0</v>
      </c>
      <c r="AG17" s="4">
        <f>AD33-AG33</f>
        <v>0</v>
      </c>
      <c r="AH17" s="8">
        <f t="shared" si="69"/>
        <v>0</v>
      </c>
      <c r="AI17" s="7">
        <f>AF33-AI33</f>
        <v>0</v>
      </c>
      <c r="AJ17" s="4">
        <f>AG33-AJ33</f>
        <v>0</v>
      </c>
      <c r="AK17" s="8">
        <f t="shared" si="70"/>
        <v>0</v>
      </c>
      <c r="AL17" s="7">
        <f>AI33-AL33</f>
        <v>0</v>
      </c>
      <c r="AM17" s="1">
        <f>AJ33-AM33</f>
        <v>0</v>
      </c>
      <c r="AN17" s="8">
        <f t="shared" si="71"/>
        <v>0</v>
      </c>
      <c r="AO17" s="74">
        <f t="shared" ref="AO17:AO23" si="73">INDEX(BI17:BT17,1,$I$1)</f>
        <v>0</v>
      </c>
      <c r="AP17" s="77">
        <f t="shared" ref="AP17:AP23" si="74">INDEX(BU17:CF17,1,$I$1)</f>
        <v>0</v>
      </c>
      <c r="AQ17" s="22">
        <f t="shared" ref="AQ17:AQ24" si="75">AP17-AO17</f>
        <v>0</v>
      </c>
      <c r="AR17" s="7" t="str">
        <f t="shared" ref="AR17:AR24" si="76">C17</f>
        <v>Ændring anlægsaktiver</v>
      </c>
      <c r="AT17" s="22">
        <v>-76660</v>
      </c>
      <c r="AU17" s="88">
        <f t="shared" ref="AU17:AU24" si="77">INDEX(AW17:BH17,1,$I$1)</f>
        <v>0</v>
      </c>
      <c r="AV17" s="22">
        <f t="shared" ref="AV17:AV24" si="78">AU17-AT17</f>
        <v>76660</v>
      </c>
      <c r="AW17" s="4">
        <f t="shared" ref="AW17:AW25" si="79">AL17+AI17+AF17+AC17+Z17+W17+T17+Q17+N17+K17+H17+F17</f>
        <v>0</v>
      </c>
      <c r="AX17" s="4">
        <f t="shared" ref="AX17:AX25" si="80">AL17+AI17+AF17+AC17+Z17+W17+T17+Q17+N17+K17+I17+F17</f>
        <v>0</v>
      </c>
      <c r="AY17" s="4">
        <f t="shared" ref="AY17:AY25" si="81">AL17+AI17+AF17+AC17+Z17+W17+T17+Q17+N17+L17+I17+F17</f>
        <v>0</v>
      </c>
      <c r="AZ17" s="4">
        <f t="shared" ref="AZ17:AZ25" si="82">AL17+AI17+AF17+AC17+Z17+W17+T17+Q17+O17+L17+I17+F17</f>
        <v>0</v>
      </c>
      <c r="BA17" s="4">
        <f t="shared" ref="BA17:BA25" si="83">AL17+AI17+AF17+AC17+Z17+W17+T17+R17+O17+L17+I17+F17</f>
        <v>0</v>
      </c>
      <c r="BB17" s="4">
        <f t="shared" ref="BB17:BB25" si="84">AL17+AI17+AF17+AC17+Z17+W17+U17+R17+O17+L17+I17+F17</f>
        <v>0</v>
      </c>
      <c r="BC17" s="4">
        <f t="shared" ref="BC17:BC25" si="85">AL17+AI17+AF17+AC17+Z17+X17+U17+R17+O17+L17+I17+F17</f>
        <v>0</v>
      </c>
      <c r="BD17" s="4">
        <f t="shared" ref="BD17:BD25" si="86">AL17+AI17+AF17+AC17+AA17+X17+U17+R17+O17+L17+I17+F17</f>
        <v>0</v>
      </c>
      <c r="BE17" s="4">
        <f t="shared" ref="BE17:BE25" si="87">AL17+AI17+AF17+AD17+AA17+X17+U17+R17+O17+L17+I17+F17</f>
        <v>0</v>
      </c>
      <c r="BF17" s="4">
        <f t="shared" ref="BF17:BF25" si="88">AL17+AI17+AG17+AD17+AA17+X17+U17+R17+O17+L17+I17+F17</f>
        <v>0</v>
      </c>
      <c r="BG17" s="4">
        <f t="shared" ref="BG17:BG25" si="89">AL17+AJ17+AG17+AD17+AA17+X17+U17+R17+O17+L17+I17+F17</f>
        <v>0</v>
      </c>
      <c r="BH17" s="4">
        <f t="shared" ref="BH17:BH25" si="90">AM17+AJ17+AG17+AD17+AA17+X17+U17+R17+O17+L17+I17+F17</f>
        <v>0</v>
      </c>
      <c r="BI17" s="4">
        <f t="shared" ref="BI17:BI23" si="91">E17</f>
        <v>0</v>
      </c>
      <c r="BJ17" s="4">
        <f t="shared" ref="BJ17:BJ23" si="92">BI17+H17</f>
        <v>0</v>
      </c>
      <c r="BK17" s="4">
        <f t="shared" ref="BK17:BK23" si="93">BJ17+K17</f>
        <v>0</v>
      </c>
      <c r="BL17" s="4">
        <f t="shared" ref="BL17:BL23" si="94">BK17+N17</f>
        <v>0</v>
      </c>
      <c r="BM17" s="4">
        <f t="shared" ref="BM17:BM23" si="95">BL17+Q17</f>
        <v>0</v>
      </c>
      <c r="BN17" s="4">
        <f t="shared" ref="BN17:BN23" si="96">BM17+T17</f>
        <v>0</v>
      </c>
      <c r="BO17" s="4">
        <f t="shared" ref="BO17:BO23" si="97">BN17+W17</f>
        <v>0</v>
      </c>
      <c r="BP17" s="4">
        <f t="shared" ref="BP17:BP23" si="98">BO17+Z17</f>
        <v>0</v>
      </c>
      <c r="BQ17" s="4">
        <f t="shared" ref="BQ17:BQ23" si="99">BP17+AC17</f>
        <v>0</v>
      </c>
      <c r="BR17" s="4">
        <f t="shared" ref="BR17:BR23" si="100">+BQ17+AF17</f>
        <v>0</v>
      </c>
      <c r="BS17" s="4">
        <f t="shared" ref="BS17:BS23" si="101">+BR17+AI17</f>
        <v>0</v>
      </c>
      <c r="BT17" s="4">
        <f t="shared" ref="BT17:BT23" si="102">BS17+AL17</f>
        <v>0</v>
      </c>
      <c r="BU17" s="4">
        <f t="shared" ref="BU17:BU23" si="103">F17</f>
        <v>0</v>
      </c>
      <c r="BV17" s="4">
        <f t="shared" ref="BV17:BV23" si="104">BU17+I17</f>
        <v>0</v>
      </c>
      <c r="BW17" s="4">
        <f t="shared" ref="BW17:BW23" si="105">BV17+L17</f>
        <v>0</v>
      </c>
      <c r="BX17" s="4">
        <f t="shared" ref="BX17:BX23" si="106">BW17+O17</f>
        <v>0</v>
      </c>
      <c r="BY17" s="4">
        <f t="shared" ref="BY17:BY23" si="107">BX17+R17</f>
        <v>0</v>
      </c>
      <c r="BZ17" s="4">
        <f t="shared" ref="BZ17:BZ23" si="108">BY17+U17</f>
        <v>0</v>
      </c>
      <c r="CA17" s="4">
        <f t="shared" ref="CA17:CA23" si="109">BZ17+X17</f>
        <v>0</v>
      </c>
      <c r="CB17" s="4">
        <f t="shared" ref="CB17:CB23" si="110">CA17+AA17</f>
        <v>0</v>
      </c>
      <c r="CC17" s="4">
        <f t="shared" ref="CC17:CC23" si="111">CB17+AD17</f>
        <v>0</v>
      </c>
      <c r="CD17" s="4">
        <f t="shared" ref="CD17:CD23" si="112">+CC17+AG17</f>
        <v>0</v>
      </c>
      <c r="CE17" s="4">
        <f t="shared" ref="CE17:CE23" si="113">+CD17+AJ17</f>
        <v>0</v>
      </c>
      <c r="CF17" s="4">
        <f t="shared" ref="CF17:CF23" si="114">CE17+AM17</f>
        <v>0</v>
      </c>
    </row>
    <row r="18" spans="1:94" s="4" customFormat="1" hidden="1" x14ac:dyDescent="0.2">
      <c r="B18" s="2"/>
      <c r="C18" s="4" t="s">
        <v>84</v>
      </c>
      <c r="E18" s="36">
        <f>D34-E34</f>
        <v>0</v>
      </c>
      <c r="F18" s="4">
        <f>D34-F34</f>
        <v>0</v>
      </c>
      <c r="G18" s="8">
        <f t="shared" si="60"/>
        <v>0</v>
      </c>
      <c r="H18" s="7">
        <f>E34-H34</f>
        <v>0</v>
      </c>
      <c r="I18" s="4">
        <f>F34-I34</f>
        <v>0</v>
      </c>
      <c r="J18" s="8">
        <f t="shared" si="61"/>
        <v>0</v>
      </c>
      <c r="K18" s="7">
        <f>H34-K34</f>
        <v>0</v>
      </c>
      <c r="L18" s="4">
        <f>I34-L34</f>
        <v>0</v>
      </c>
      <c r="M18" s="8">
        <f t="shared" si="62"/>
        <v>0</v>
      </c>
      <c r="N18" s="7">
        <f>K34-N34</f>
        <v>0</v>
      </c>
      <c r="O18" s="4">
        <f>L34-O34</f>
        <v>0</v>
      </c>
      <c r="P18" s="8">
        <f t="shared" si="63"/>
        <v>0</v>
      </c>
      <c r="Q18" s="7">
        <f>N34-Q34</f>
        <v>0</v>
      </c>
      <c r="R18" s="4">
        <f>O34-R34</f>
        <v>0</v>
      </c>
      <c r="S18" s="8">
        <f t="shared" si="64"/>
        <v>0</v>
      </c>
      <c r="T18" s="7">
        <f>Q34-T34</f>
        <v>0</v>
      </c>
      <c r="U18" s="4">
        <f>R34-U34</f>
        <v>0</v>
      </c>
      <c r="V18" s="8">
        <f t="shared" si="65"/>
        <v>0</v>
      </c>
      <c r="W18" s="7">
        <f>T34-W34</f>
        <v>0</v>
      </c>
      <c r="X18" s="4">
        <f>U34-X34</f>
        <v>0</v>
      </c>
      <c r="Y18" s="8">
        <f t="shared" si="66"/>
        <v>0</v>
      </c>
      <c r="Z18" s="7">
        <f>W34-Z34</f>
        <v>0</v>
      </c>
      <c r="AA18" s="4">
        <f>X34-AA34</f>
        <v>0</v>
      </c>
      <c r="AB18" s="8">
        <f t="shared" si="67"/>
        <v>0</v>
      </c>
      <c r="AC18" s="7">
        <f>Z34-AC34</f>
        <v>0</v>
      </c>
      <c r="AD18" s="4">
        <f>AA34-AD34</f>
        <v>0</v>
      </c>
      <c r="AE18" s="8">
        <f t="shared" si="68"/>
        <v>0</v>
      </c>
      <c r="AF18" s="7">
        <f>AC34-AF34</f>
        <v>0</v>
      </c>
      <c r="AG18" s="4">
        <f>AD34-AG34</f>
        <v>0</v>
      </c>
      <c r="AH18" s="8">
        <f t="shared" si="69"/>
        <v>0</v>
      </c>
      <c r="AI18" s="7">
        <f>AF34-AI34</f>
        <v>0</v>
      </c>
      <c r="AJ18" s="4">
        <f>AG34-AJ34</f>
        <v>0</v>
      </c>
      <c r="AK18" s="8">
        <f t="shared" si="70"/>
        <v>0</v>
      </c>
      <c r="AL18" s="7">
        <f>AI34-AL34</f>
        <v>0</v>
      </c>
      <c r="AM18" s="1">
        <f>AJ34-AM34</f>
        <v>0</v>
      </c>
      <c r="AN18" s="8">
        <f t="shared" si="71"/>
        <v>0</v>
      </c>
      <c r="AO18" s="73">
        <f t="shared" si="73"/>
        <v>0</v>
      </c>
      <c r="AP18" s="80">
        <f t="shared" si="74"/>
        <v>0</v>
      </c>
      <c r="AQ18" s="22">
        <f>AP18-AO18</f>
        <v>0</v>
      </c>
      <c r="AR18" s="7" t="str">
        <f t="shared" si="76"/>
        <v>Ændring tilgodehavender</v>
      </c>
      <c r="AT18" s="22">
        <v>-25548</v>
      </c>
      <c r="AU18" s="88">
        <f t="shared" si="77"/>
        <v>0</v>
      </c>
      <c r="AV18" s="22">
        <f>AU18-AT18</f>
        <v>25548</v>
      </c>
      <c r="AW18" s="4">
        <f t="shared" si="79"/>
        <v>0</v>
      </c>
      <c r="AX18" s="4">
        <f t="shared" si="80"/>
        <v>0</v>
      </c>
      <c r="AY18" s="4">
        <f t="shared" si="81"/>
        <v>0</v>
      </c>
      <c r="AZ18" s="4">
        <f t="shared" si="82"/>
        <v>0</v>
      </c>
      <c r="BA18" s="4">
        <f t="shared" si="83"/>
        <v>0</v>
      </c>
      <c r="BB18" s="4">
        <f t="shared" si="84"/>
        <v>0</v>
      </c>
      <c r="BC18" s="4">
        <f t="shared" si="85"/>
        <v>0</v>
      </c>
      <c r="BD18" s="4">
        <f t="shared" si="86"/>
        <v>0</v>
      </c>
      <c r="BE18" s="4">
        <f t="shared" si="87"/>
        <v>0</v>
      </c>
      <c r="BF18" s="4">
        <f t="shared" si="88"/>
        <v>0</v>
      </c>
      <c r="BG18" s="4">
        <f t="shared" si="89"/>
        <v>0</v>
      </c>
      <c r="BH18" s="4">
        <f t="shared" si="90"/>
        <v>0</v>
      </c>
      <c r="BI18" s="4">
        <f t="shared" si="91"/>
        <v>0</v>
      </c>
      <c r="BJ18" s="4">
        <f t="shared" si="92"/>
        <v>0</v>
      </c>
      <c r="BK18" s="4">
        <f t="shared" si="93"/>
        <v>0</v>
      </c>
      <c r="BL18" s="4">
        <f t="shared" si="94"/>
        <v>0</v>
      </c>
      <c r="BM18" s="4">
        <f t="shared" si="95"/>
        <v>0</v>
      </c>
      <c r="BN18" s="4">
        <f t="shared" si="96"/>
        <v>0</v>
      </c>
      <c r="BO18" s="4">
        <f t="shared" si="97"/>
        <v>0</v>
      </c>
      <c r="BP18" s="4">
        <f t="shared" si="98"/>
        <v>0</v>
      </c>
      <c r="BQ18" s="4">
        <f t="shared" si="99"/>
        <v>0</v>
      </c>
      <c r="BR18" s="4">
        <f t="shared" si="100"/>
        <v>0</v>
      </c>
      <c r="BS18" s="4">
        <f t="shared" si="101"/>
        <v>0</v>
      </c>
      <c r="BT18" s="4">
        <f t="shared" si="102"/>
        <v>0</v>
      </c>
      <c r="BU18" s="4">
        <f t="shared" si="103"/>
        <v>0</v>
      </c>
      <c r="BV18" s="4">
        <f t="shared" si="104"/>
        <v>0</v>
      </c>
      <c r="BW18" s="4">
        <f t="shared" si="105"/>
        <v>0</v>
      </c>
      <c r="BX18" s="4">
        <f t="shared" si="106"/>
        <v>0</v>
      </c>
      <c r="BY18" s="4">
        <f t="shared" si="107"/>
        <v>0</v>
      </c>
      <c r="BZ18" s="4">
        <f t="shared" si="108"/>
        <v>0</v>
      </c>
      <c r="CA18" s="4">
        <f t="shared" si="109"/>
        <v>0</v>
      </c>
      <c r="CB18" s="4">
        <f t="shared" si="110"/>
        <v>0</v>
      </c>
      <c r="CC18" s="4">
        <f t="shared" si="111"/>
        <v>0</v>
      </c>
      <c r="CD18" s="4">
        <f t="shared" si="112"/>
        <v>0</v>
      </c>
      <c r="CE18" s="4">
        <f t="shared" si="113"/>
        <v>0</v>
      </c>
      <c r="CF18" s="4">
        <f t="shared" si="114"/>
        <v>0</v>
      </c>
    </row>
    <row r="19" spans="1:94" s="4" customFormat="1" hidden="1" x14ac:dyDescent="0.2">
      <c r="B19" s="2"/>
      <c r="C19" s="4" t="s">
        <v>104</v>
      </c>
      <c r="E19" s="36">
        <f>D38-E38</f>
        <v>0</v>
      </c>
      <c r="F19" s="4">
        <f>D38-F38</f>
        <v>0</v>
      </c>
      <c r="G19" s="8">
        <f t="shared" si="60"/>
        <v>0</v>
      </c>
      <c r="H19" s="7">
        <f t="shared" ref="H19:I22" si="115">E38-H38</f>
        <v>0</v>
      </c>
      <c r="I19" s="4">
        <f t="shared" si="115"/>
        <v>0</v>
      </c>
      <c r="J19" s="8">
        <f t="shared" si="61"/>
        <v>0</v>
      </c>
      <c r="K19" s="7">
        <f t="shared" ref="K19:L22" si="116">H38-K38</f>
        <v>0</v>
      </c>
      <c r="L19" s="4">
        <f t="shared" si="116"/>
        <v>0</v>
      </c>
      <c r="M19" s="8"/>
      <c r="N19" s="7">
        <f t="shared" ref="N19:O22" si="117">K38-N38</f>
        <v>0</v>
      </c>
      <c r="O19" s="4">
        <f t="shared" si="117"/>
        <v>0</v>
      </c>
      <c r="P19" s="8"/>
      <c r="Q19" s="7">
        <f t="shared" ref="Q19:R22" si="118">N38-Q38</f>
        <v>0</v>
      </c>
      <c r="R19" s="4">
        <f t="shared" si="118"/>
        <v>0</v>
      </c>
      <c r="S19" s="8"/>
      <c r="T19" s="7">
        <f t="shared" ref="T19:U22" si="119">Q38-T38</f>
        <v>0</v>
      </c>
      <c r="U19" s="4">
        <f t="shared" si="119"/>
        <v>0</v>
      </c>
      <c r="V19" s="8"/>
      <c r="W19" s="7">
        <f t="shared" ref="W19:X22" si="120">T38-W38</f>
        <v>0</v>
      </c>
      <c r="X19" s="4">
        <f t="shared" si="120"/>
        <v>0</v>
      </c>
      <c r="Y19" s="8">
        <f t="shared" si="66"/>
        <v>0</v>
      </c>
      <c r="Z19" s="7">
        <f t="shared" ref="Z19:AA22" si="121">W38-Z38</f>
        <v>0</v>
      </c>
      <c r="AA19" s="4">
        <f t="shared" si="121"/>
        <v>0</v>
      </c>
      <c r="AB19" s="8">
        <f t="shared" si="67"/>
        <v>0</v>
      </c>
      <c r="AC19" s="7">
        <f t="shared" ref="AC19:AD22" si="122">Z38-AC38</f>
        <v>0</v>
      </c>
      <c r="AD19" s="4">
        <f t="shared" si="122"/>
        <v>0</v>
      </c>
      <c r="AE19" s="8">
        <f t="shared" si="68"/>
        <v>0</v>
      </c>
      <c r="AF19" s="7">
        <f t="shared" ref="AF19:AG22" si="123">AC38-AF38</f>
        <v>0</v>
      </c>
      <c r="AG19" s="4">
        <f t="shared" si="123"/>
        <v>0</v>
      </c>
      <c r="AH19" s="8">
        <f t="shared" si="69"/>
        <v>0</v>
      </c>
      <c r="AI19" s="7">
        <f t="shared" ref="AI19:AJ22" si="124">AF38-AI38</f>
        <v>0</v>
      </c>
      <c r="AJ19" s="4">
        <f t="shared" si="124"/>
        <v>0</v>
      </c>
      <c r="AK19" s="8">
        <f t="shared" si="70"/>
        <v>0</v>
      </c>
      <c r="AL19" s="7">
        <f t="shared" ref="AL19:AM22" si="125">AI38-AL38</f>
        <v>0</v>
      </c>
      <c r="AM19" s="1">
        <f t="shared" si="125"/>
        <v>0</v>
      </c>
      <c r="AN19" s="8">
        <f t="shared" si="71"/>
        <v>0</v>
      </c>
      <c r="AO19" s="73">
        <f t="shared" si="73"/>
        <v>0</v>
      </c>
      <c r="AP19" s="80">
        <f t="shared" si="74"/>
        <v>0</v>
      </c>
      <c r="AQ19" s="22">
        <f t="shared" si="75"/>
        <v>0</v>
      </c>
      <c r="AR19" s="7" t="str">
        <f t="shared" si="76"/>
        <v>Hævet til privat, bil og skat</v>
      </c>
      <c r="AT19" s="22">
        <v>-138695</v>
      </c>
      <c r="AU19" s="88">
        <f t="shared" si="77"/>
        <v>0</v>
      </c>
      <c r="AV19" s="22">
        <f t="shared" si="78"/>
        <v>138695</v>
      </c>
      <c r="AW19" s="4">
        <f t="shared" si="79"/>
        <v>0</v>
      </c>
      <c r="AX19" s="4">
        <f t="shared" si="80"/>
        <v>0</v>
      </c>
      <c r="AY19" s="4">
        <f t="shared" si="81"/>
        <v>0</v>
      </c>
      <c r="AZ19" s="4">
        <f t="shared" si="82"/>
        <v>0</v>
      </c>
      <c r="BA19" s="4">
        <f t="shared" si="83"/>
        <v>0</v>
      </c>
      <c r="BB19" s="4">
        <f t="shared" si="84"/>
        <v>0</v>
      </c>
      <c r="BC19" s="4">
        <f t="shared" si="85"/>
        <v>0</v>
      </c>
      <c r="BD19" s="4">
        <f t="shared" si="86"/>
        <v>0</v>
      </c>
      <c r="BE19" s="4">
        <f t="shared" si="87"/>
        <v>0</v>
      </c>
      <c r="BF19" s="4">
        <f t="shared" si="88"/>
        <v>0</v>
      </c>
      <c r="BG19" s="4">
        <f t="shared" si="89"/>
        <v>0</v>
      </c>
      <c r="BH19" s="4">
        <f t="shared" si="90"/>
        <v>0</v>
      </c>
      <c r="BI19" s="4">
        <f t="shared" si="91"/>
        <v>0</v>
      </c>
      <c r="BJ19" s="4">
        <f t="shared" si="92"/>
        <v>0</v>
      </c>
      <c r="BK19" s="4">
        <f t="shared" si="93"/>
        <v>0</v>
      </c>
      <c r="BL19" s="4">
        <f t="shared" si="94"/>
        <v>0</v>
      </c>
      <c r="BM19" s="4">
        <f t="shared" si="95"/>
        <v>0</v>
      </c>
      <c r="BN19" s="4">
        <f t="shared" si="96"/>
        <v>0</v>
      </c>
      <c r="BO19" s="4">
        <f t="shared" si="97"/>
        <v>0</v>
      </c>
      <c r="BP19" s="4">
        <f t="shared" si="98"/>
        <v>0</v>
      </c>
      <c r="BQ19" s="4">
        <f t="shared" si="99"/>
        <v>0</v>
      </c>
      <c r="BR19" s="4">
        <f t="shared" si="100"/>
        <v>0</v>
      </c>
      <c r="BS19" s="4">
        <f t="shared" si="101"/>
        <v>0</v>
      </c>
      <c r="BT19" s="4">
        <f t="shared" si="102"/>
        <v>0</v>
      </c>
      <c r="BU19" s="4">
        <f t="shared" si="103"/>
        <v>0</v>
      </c>
      <c r="BV19" s="4">
        <f t="shared" si="104"/>
        <v>0</v>
      </c>
      <c r="BW19" s="4">
        <f t="shared" si="105"/>
        <v>0</v>
      </c>
      <c r="BX19" s="4">
        <f t="shared" si="106"/>
        <v>0</v>
      </c>
      <c r="BY19" s="4">
        <f t="shared" si="107"/>
        <v>0</v>
      </c>
      <c r="BZ19" s="4">
        <f t="shared" si="108"/>
        <v>0</v>
      </c>
      <c r="CA19" s="4">
        <f t="shared" si="109"/>
        <v>0</v>
      </c>
      <c r="CB19" s="4">
        <f t="shared" si="110"/>
        <v>0</v>
      </c>
      <c r="CC19" s="4">
        <f t="shared" si="111"/>
        <v>0</v>
      </c>
      <c r="CD19" s="4">
        <f t="shared" si="112"/>
        <v>0</v>
      </c>
      <c r="CE19" s="4">
        <f t="shared" si="113"/>
        <v>0</v>
      </c>
      <c r="CF19" s="4">
        <f t="shared" si="114"/>
        <v>0</v>
      </c>
    </row>
    <row r="20" spans="1:94" s="4" customFormat="1" hidden="1" x14ac:dyDescent="0.2">
      <c r="B20" s="2"/>
      <c r="C20" s="4" t="s">
        <v>85</v>
      </c>
      <c r="E20" s="36">
        <f>D39-E39</f>
        <v>0</v>
      </c>
      <c r="F20" s="4">
        <f>D39-F39</f>
        <v>0</v>
      </c>
      <c r="G20" s="8">
        <f t="shared" si="60"/>
        <v>0</v>
      </c>
      <c r="H20" s="7">
        <f t="shared" si="115"/>
        <v>0</v>
      </c>
      <c r="I20" s="4">
        <f t="shared" si="115"/>
        <v>0</v>
      </c>
      <c r="J20" s="8">
        <f t="shared" si="61"/>
        <v>0</v>
      </c>
      <c r="K20" s="7">
        <f t="shared" si="116"/>
        <v>0</v>
      </c>
      <c r="L20" s="4">
        <f t="shared" si="116"/>
        <v>0</v>
      </c>
      <c r="M20" s="8">
        <f t="shared" ref="M20" si="126">L20-K20</f>
        <v>0</v>
      </c>
      <c r="N20" s="7">
        <f t="shared" si="117"/>
        <v>0</v>
      </c>
      <c r="O20" s="4">
        <f t="shared" si="117"/>
        <v>0</v>
      </c>
      <c r="P20" s="8">
        <f t="shared" ref="P20" si="127">O20-N20</f>
        <v>0</v>
      </c>
      <c r="Q20" s="7">
        <f t="shared" si="118"/>
        <v>0</v>
      </c>
      <c r="R20" s="4">
        <f t="shared" si="118"/>
        <v>0</v>
      </c>
      <c r="S20" s="8">
        <f t="shared" ref="S20" si="128">R20-Q20</f>
        <v>0</v>
      </c>
      <c r="T20" s="7">
        <f t="shared" si="119"/>
        <v>0</v>
      </c>
      <c r="U20" s="4">
        <f t="shared" si="119"/>
        <v>0</v>
      </c>
      <c r="V20" s="8">
        <f t="shared" ref="V20" si="129">U20-T20</f>
        <v>0</v>
      </c>
      <c r="W20" s="7">
        <f t="shared" si="120"/>
        <v>0</v>
      </c>
      <c r="X20" s="4">
        <f t="shared" si="120"/>
        <v>0</v>
      </c>
      <c r="Y20" s="8">
        <f t="shared" si="66"/>
        <v>0</v>
      </c>
      <c r="Z20" s="7">
        <f t="shared" si="121"/>
        <v>0</v>
      </c>
      <c r="AA20" s="4">
        <f t="shared" si="121"/>
        <v>0</v>
      </c>
      <c r="AB20" s="8">
        <f t="shared" si="67"/>
        <v>0</v>
      </c>
      <c r="AC20" s="7">
        <f t="shared" si="122"/>
        <v>0</v>
      </c>
      <c r="AD20" s="4">
        <f t="shared" si="122"/>
        <v>0</v>
      </c>
      <c r="AE20" s="8">
        <f t="shared" si="68"/>
        <v>0</v>
      </c>
      <c r="AF20" s="7">
        <f t="shared" si="123"/>
        <v>0</v>
      </c>
      <c r="AG20" s="4">
        <f t="shared" si="123"/>
        <v>0</v>
      </c>
      <c r="AH20" s="8">
        <f t="shared" si="69"/>
        <v>0</v>
      </c>
      <c r="AI20" s="7">
        <f t="shared" si="124"/>
        <v>0</v>
      </c>
      <c r="AJ20" s="4">
        <f t="shared" si="124"/>
        <v>0</v>
      </c>
      <c r="AK20" s="8">
        <f t="shared" si="70"/>
        <v>0</v>
      </c>
      <c r="AL20" s="7">
        <f t="shared" si="125"/>
        <v>0</v>
      </c>
      <c r="AM20" s="1">
        <f t="shared" si="125"/>
        <v>0</v>
      </c>
      <c r="AN20" s="8">
        <f t="shared" si="71"/>
        <v>0</v>
      </c>
      <c r="AO20" s="73">
        <f t="shared" si="73"/>
        <v>0</v>
      </c>
      <c r="AP20" s="80">
        <f t="shared" si="74"/>
        <v>0</v>
      </c>
      <c r="AQ20" s="22">
        <f t="shared" si="75"/>
        <v>0</v>
      </c>
      <c r="AR20" s="7" t="str">
        <f t="shared" si="76"/>
        <v>Ændring langfristet gæld</v>
      </c>
      <c r="AT20" s="22">
        <v>302155</v>
      </c>
      <c r="AU20" s="88">
        <f t="shared" si="77"/>
        <v>0</v>
      </c>
      <c r="AV20" s="22">
        <f t="shared" si="78"/>
        <v>-302155</v>
      </c>
      <c r="AW20" s="4">
        <f t="shared" si="79"/>
        <v>0</v>
      </c>
      <c r="AX20" s="4">
        <f t="shared" si="80"/>
        <v>0</v>
      </c>
      <c r="AY20" s="4">
        <f t="shared" si="81"/>
        <v>0</v>
      </c>
      <c r="AZ20" s="4">
        <f t="shared" si="82"/>
        <v>0</v>
      </c>
      <c r="BA20" s="4">
        <f t="shared" si="83"/>
        <v>0</v>
      </c>
      <c r="BB20" s="4">
        <f t="shared" si="84"/>
        <v>0</v>
      </c>
      <c r="BC20" s="4">
        <f t="shared" si="85"/>
        <v>0</v>
      </c>
      <c r="BD20" s="4">
        <f t="shared" si="86"/>
        <v>0</v>
      </c>
      <c r="BE20" s="4">
        <f t="shared" si="87"/>
        <v>0</v>
      </c>
      <c r="BF20" s="4">
        <f t="shared" si="88"/>
        <v>0</v>
      </c>
      <c r="BG20" s="4">
        <f t="shared" si="89"/>
        <v>0</v>
      </c>
      <c r="BH20" s="4">
        <f t="shared" si="90"/>
        <v>0</v>
      </c>
      <c r="BI20" s="4">
        <f t="shared" si="91"/>
        <v>0</v>
      </c>
      <c r="BJ20" s="4">
        <f t="shared" si="92"/>
        <v>0</v>
      </c>
      <c r="BK20" s="4">
        <f t="shared" si="93"/>
        <v>0</v>
      </c>
      <c r="BL20" s="4">
        <f t="shared" si="94"/>
        <v>0</v>
      </c>
      <c r="BM20" s="4">
        <f t="shared" si="95"/>
        <v>0</v>
      </c>
      <c r="BN20" s="4">
        <f t="shared" si="96"/>
        <v>0</v>
      </c>
      <c r="BO20" s="4">
        <f t="shared" si="97"/>
        <v>0</v>
      </c>
      <c r="BP20" s="4">
        <f t="shared" si="98"/>
        <v>0</v>
      </c>
      <c r="BQ20" s="4">
        <f t="shared" si="99"/>
        <v>0</v>
      </c>
      <c r="BR20" s="4">
        <f t="shared" si="100"/>
        <v>0</v>
      </c>
      <c r="BS20" s="4">
        <f t="shared" si="101"/>
        <v>0</v>
      </c>
      <c r="BT20" s="4">
        <f t="shared" si="102"/>
        <v>0</v>
      </c>
      <c r="BU20" s="4">
        <f t="shared" si="103"/>
        <v>0</v>
      </c>
      <c r="BV20" s="4">
        <f t="shared" si="104"/>
        <v>0</v>
      </c>
      <c r="BW20" s="4">
        <f t="shared" si="105"/>
        <v>0</v>
      </c>
      <c r="BX20" s="4">
        <f t="shared" si="106"/>
        <v>0</v>
      </c>
      <c r="BY20" s="4">
        <f t="shared" si="107"/>
        <v>0</v>
      </c>
      <c r="BZ20" s="4">
        <f t="shared" si="108"/>
        <v>0</v>
      </c>
      <c r="CA20" s="4">
        <f t="shared" si="109"/>
        <v>0</v>
      </c>
      <c r="CB20" s="4">
        <f t="shared" si="110"/>
        <v>0</v>
      </c>
      <c r="CC20" s="4">
        <f t="shared" si="111"/>
        <v>0</v>
      </c>
      <c r="CD20" s="4">
        <f t="shared" si="112"/>
        <v>0</v>
      </c>
      <c r="CE20" s="4">
        <f t="shared" si="113"/>
        <v>0</v>
      </c>
      <c r="CF20" s="4">
        <f t="shared" si="114"/>
        <v>0</v>
      </c>
    </row>
    <row r="21" spans="1:94" s="4" customFormat="1" hidden="1" x14ac:dyDescent="0.2">
      <c r="B21" s="2"/>
      <c r="C21" s="4" t="s">
        <v>86</v>
      </c>
      <c r="E21" s="36">
        <f>D40-E40</f>
        <v>0</v>
      </c>
      <c r="F21" s="4">
        <f>D40-F40</f>
        <v>0</v>
      </c>
      <c r="G21" s="8">
        <f t="shared" si="60"/>
        <v>0</v>
      </c>
      <c r="H21" s="7">
        <f t="shared" si="115"/>
        <v>0</v>
      </c>
      <c r="I21" s="4">
        <f t="shared" si="115"/>
        <v>0</v>
      </c>
      <c r="J21" s="8">
        <f t="shared" si="61"/>
        <v>0</v>
      </c>
      <c r="K21" s="7">
        <f t="shared" si="116"/>
        <v>0</v>
      </c>
      <c r="L21" s="4">
        <f t="shared" si="116"/>
        <v>0</v>
      </c>
      <c r="M21" s="8">
        <f t="shared" si="62"/>
        <v>0</v>
      </c>
      <c r="N21" s="7">
        <f t="shared" si="117"/>
        <v>0</v>
      </c>
      <c r="O21" s="4">
        <f t="shared" si="117"/>
        <v>0</v>
      </c>
      <c r="P21" s="8">
        <f t="shared" si="63"/>
        <v>0</v>
      </c>
      <c r="Q21" s="7">
        <f t="shared" si="118"/>
        <v>0</v>
      </c>
      <c r="R21" s="4">
        <f t="shared" si="118"/>
        <v>0</v>
      </c>
      <c r="S21" s="8">
        <f t="shared" si="64"/>
        <v>0</v>
      </c>
      <c r="T21" s="7">
        <f t="shared" si="119"/>
        <v>0</v>
      </c>
      <c r="U21" s="4">
        <f t="shared" si="119"/>
        <v>0</v>
      </c>
      <c r="V21" s="8">
        <f t="shared" si="65"/>
        <v>0</v>
      </c>
      <c r="W21" s="7">
        <f t="shared" si="120"/>
        <v>0</v>
      </c>
      <c r="X21" s="4">
        <f t="shared" si="120"/>
        <v>0</v>
      </c>
      <c r="Y21" s="8">
        <f t="shared" si="66"/>
        <v>0</v>
      </c>
      <c r="Z21" s="7">
        <f t="shared" si="121"/>
        <v>0</v>
      </c>
      <c r="AA21" s="4">
        <f t="shared" si="121"/>
        <v>0</v>
      </c>
      <c r="AB21" s="8">
        <f t="shared" si="67"/>
        <v>0</v>
      </c>
      <c r="AC21" s="7">
        <f t="shared" si="122"/>
        <v>0</v>
      </c>
      <c r="AD21" s="4">
        <f t="shared" si="122"/>
        <v>0</v>
      </c>
      <c r="AE21" s="8">
        <f t="shared" si="68"/>
        <v>0</v>
      </c>
      <c r="AF21" s="7">
        <f t="shared" si="123"/>
        <v>0</v>
      </c>
      <c r="AG21" s="4">
        <f t="shared" si="123"/>
        <v>0</v>
      </c>
      <c r="AH21" s="8">
        <f t="shared" si="69"/>
        <v>0</v>
      </c>
      <c r="AI21" s="7">
        <f t="shared" si="124"/>
        <v>0</v>
      </c>
      <c r="AJ21" s="4">
        <f t="shared" si="124"/>
        <v>0</v>
      </c>
      <c r="AK21" s="8">
        <f t="shared" si="70"/>
        <v>0</v>
      </c>
      <c r="AL21" s="7">
        <f t="shared" si="125"/>
        <v>0</v>
      </c>
      <c r="AM21" s="1">
        <f t="shared" si="125"/>
        <v>0</v>
      </c>
      <c r="AN21" s="8">
        <f t="shared" si="71"/>
        <v>0</v>
      </c>
      <c r="AO21" s="73">
        <f t="shared" si="73"/>
        <v>0</v>
      </c>
      <c r="AP21" s="80">
        <f t="shared" si="74"/>
        <v>0</v>
      </c>
      <c r="AQ21" s="22">
        <f t="shared" si="75"/>
        <v>0</v>
      </c>
      <c r="AR21" s="7" t="str">
        <f t="shared" si="76"/>
        <v>Ændring kortfristet gæld</v>
      </c>
      <c r="AT21" s="22">
        <v>99334</v>
      </c>
      <c r="AU21" s="88">
        <f t="shared" si="77"/>
        <v>0</v>
      </c>
      <c r="AV21" s="22">
        <f t="shared" si="78"/>
        <v>-99334</v>
      </c>
      <c r="AW21" s="4">
        <f t="shared" si="79"/>
        <v>0</v>
      </c>
      <c r="AX21" s="4">
        <f t="shared" si="80"/>
        <v>0</v>
      </c>
      <c r="AY21" s="4">
        <f t="shared" si="81"/>
        <v>0</v>
      </c>
      <c r="AZ21" s="4">
        <f t="shared" si="82"/>
        <v>0</v>
      </c>
      <c r="BA21" s="4">
        <f t="shared" si="83"/>
        <v>0</v>
      </c>
      <c r="BB21" s="4">
        <f t="shared" si="84"/>
        <v>0</v>
      </c>
      <c r="BC21" s="4">
        <f t="shared" si="85"/>
        <v>0</v>
      </c>
      <c r="BD21" s="4">
        <f t="shared" si="86"/>
        <v>0</v>
      </c>
      <c r="BE21" s="4">
        <f t="shared" si="87"/>
        <v>0</v>
      </c>
      <c r="BF21" s="4">
        <f t="shared" si="88"/>
        <v>0</v>
      </c>
      <c r="BG21" s="4">
        <f t="shared" si="89"/>
        <v>0</v>
      </c>
      <c r="BH21" s="4">
        <f t="shared" si="90"/>
        <v>0</v>
      </c>
      <c r="BI21" s="4">
        <f t="shared" si="91"/>
        <v>0</v>
      </c>
      <c r="BJ21" s="4">
        <f t="shared" si="92"/>
        <v>0</v>
      </c>
      <c r="BK21" s="4">
        <f t="shared" si="93"/>
        <v>0</v>
      </c>
      <c r="BL21" s="4">
        <f t="shared" si="94"/>
        <v>0</v>
      </c>
      <c r="BM21" s="4">
        <f t="shared" si="95"/>
        <v>0</v>
      </c>
      <c r="BN21" s="4">
        <f t="shared" si="96"/>
        <v>0</v>
      </c>
      <c r="BO21" s="4">
        <f t="shared" si="97"/>
        <v>0</v>
      </c>
      <c r="BP21" s="4">
        <f t="shared" si="98"/>
        <v>0</v>
      </c>
      <c r="BQ21" s="4">
        <f t="shared" si="99"/>
        <v>0</v>
      </c>
      <c r="BR21" s="4">
        <f t="shared" si="100"/>
        <v>0</v>
      </c>
      <c r="BS21" s="4">
        <f t="shared" si="101"/>
        <v>0</v>
      </c>
      <c r="BT21" s="4">
        <f t="shared" si="102"/>
        <v>0</v>
      </c>
      <c r="BU21" s="4">
        <f t="shared" si="103"/>
        <v>0</v>
      </c>
      <c r="BV21" s="4">
        <f t="shared" si="104"/>
        <v>0</v>
      </c>
      <c r="BW21" s="4">
        <f t="shared" si="105"/>
        <v>0</v>
      </c>
      <c r="BX21" s="4">
        <f t="shared" si="106"/>
        <v>0</v>
      </c>
      <c r="BY21" s="4">
        <f t="shared" si="107"/>
        <v>0</v>
      </c>
      <c r="BZ21" s="4">
        <f t="shared" si="108"/>
        <v>0</v>
      </c>
      <c r="CA21" s="4">
        <f t="shared" si="109"/>
        <v>0</v>
      </c>
      <c r="CB21" s="4">
        <f t="shared" si="110"/>
        <v>0</v>
      </c>
      <c r="CC21" s="4">
        <f t="shared" si="111"/>
        <v>0</v>
      </c>
      <c r="CD21" s="4">
        <f t="shared" si="112"/>
        <v>0</v>
      </c>
      <c r="CE21" s="4">
        <f t="shared" si="113"/>
        <v>0</v>
      </c>
      <c r="CF21" s="4">
        <f t="shared" si="114"/>
        <v>0</v>
      </c>
    </row>
    <row r="22" spans="1:94" s="4" customFormat="1" hidden="1" x14ac:dyDescent="0.2">
      <c r="B22" s="2"/>
      <c r="C22" s="4" t="s">
        <v>87</v>
      </c>
      <c r="E22" s="36">
        <f>D41-E41</f>
        <v>0</v>
      </c>
      <c r="F22" s="4">
        <f>D41-F41</f>
        <v>0</v>
      </c>
      <c r="G22" s="8">
        <f t="shared" si="60"/>
        <v>0</v>
      </c>
      <c r="H22" s="7">
        <f t="shared" si="115"/>
        <v>0</v>
      </c>
      <c r="I22" s="4">
        <f t="shared" si="115"/>
        <v>0</v>
      </c>
      <c r="J22" s="8">
        <f t="shared" si="61"/>
        <v>0</v>
      </c>
      <c r="K22" s="7">
        <f t="shared" si="116"/>
        <v>0</v>
      </c>
      <c r="L22" s="4">
        <f t="shared" si="116"/>
        <v>0</v>
      </c>
      <c r="M22" s="8">
        <f t="shared" si="62"/>
        <v>0</v>
      </c>
      <c r="N22" s="7">
        <f t="shared" si="117"/>
        <v>0</v>
      </c>
      <c r="O22" s="4">
        <f t="shared" si="117"/>
        <v>0</v>
      </c>
      <c r="P22" s="8">
        <f t="shared" si="63"/>
        <v>0</v>
      </c>
      <c r="Q22" s="7">
        <f t="shared" si="118"/>
        <v>0</v>
      </c>
      <c r="R22" s="4">
        <f t="shared" si="118"/>
        <v>0</v>
      </c>
      <c r="S22" s="8">
        <f t="shared" si="64"/>
        <v>0</v>
      </c>
      <c r="T22" s="7">
        <f t="shared" si="119"/>
        <v>0</v>
      </c>
      <c r="U22" s="4">
        <f t="shared" si="119"/>
        <v>0</v>
      </c>
      <c r="V22" s="8">
        <f t="shared" si="65"/>
        <v>0</v>
      </c>
      <c r="W22" s="7">
        <f t="shared" si="120"/>
        <v>0</v>
      </c>
      <c r="X22" s="4">
        <f t="shared" si="120"/>
        <v>0</v>
      </c>
      <c r="Y22" s="8">
        <f t="shared" si="66"/>
        <v>0</v>
      </c>
      <c r="Z22" s="7">
        <f t="shared" si="121"/>
        <v>0</v>
      </c>
      <c r="AA22" s="4">
        <f t="shared" si="121"/>
        <v>0</v>
      </c>
      <c r="AB22" s="8">
        <f t="shared" si="67"/>
        <v>0</v>
      </c>
      <c r="AC22" s="7">
        <f t="shared" si="122"/>
        <v>0</v>
      </c>
      <c r="AD22" s="4">
        <f t="shared" si="122"/>
        <v>0</v>
      </c>
      <c r="AE22" s="8">
        <f t="shared" si="68"/>
        <v>0</v>
      </c>
      <c r="AF22" s="7">
        <f t="shared" si="123"/>
        <v>0</v>
      </c>
      <c r="AG22" s="4">
        <f t="shared" si="123"/>
        <v>0</v>
      </c>
      <c r="AH22" s="8">
        <f t="shared" si="69"/>
        <v>0</v>
      </c>
      <c r="AI22" s="7">
        <f t="shared" si="124"/>
        <v>0</v>
      </c>
      <c r="AJ22" s="4">
        <f t="shared" si="124"/>
        <v>0</v>
      </c>
      <c r="AK22" s="8">
        <f t="shared" si="70"/>
        <v>0</v>
      </c>
      <c r="AL22" s="7">
        <f t="shared" si="125"/>
        <v>0</v>
      </c>
      <c r="AM22" s="1">
        <f t="shared" si="125"/>
        <v>0</v>
      </c>
      <c r="AN22" s="8">
        <f t="shared" si="71"/>
        <v>0</v>
      </c>
      <c r="AO22" s="73">
        <f t="shared" si="73"/>
        <v>0</v>
      </c>
      <c r="AP22" s="80">
        <f t="shared" si="74"/>
        <v>0</v>
      </c>
      <c r="AQ22" s="22">
        <f t="shared" si="75"/>
        <v>0</v>
      </c>
      <c r="AR22" s="7" t="str">
        <f t="shared" si="76"/>
        <v>Ændring skyldig moms</v>
      </c>
      <c r="AT22" s="22">
        <v>4554</v>
      </c>
      <c r="AU22" s="88">
        <f>INDEX(AW22:BH22,1,$I$1)</f>
        <v>0</v>
      </c>
      <c r="AV22" s="22">
        <f t="shared" si="78"/>
        <v>-4554</v>
      </c>
      <c r="AW22" s="4">
        <f t="shared" si="79"/>
        <v>0</v>
      </c>
      <c r="AX22" s="4">
        <f t="shared" si="80"/>
        <v>0</v>
      </c>
      <c r="AY22" s="4">
        <f t="shared" si="81"/>
        <v>0</v>
      </c>
      <c r="AZ22" s="4">
        <f t="shared" si="82"/>
        <v>0</v>
      </c>
      <c r="BA22" s="4">
        <f t="shared" si="83"/>
        <v>0</v>
      </c>
      <c r="BB22" s="4">
        <f t="shared" si="84"/>
        <v>0</v>
      </c>
      <c r="BC22" s="4">
        <f t="shared" si="85"/>
        <v>0</v>
      </c>
      <c r="BD22" s="4">
        <f t="shared" si="86"/>
        <v>0</v>
      </c>
      <c r="BE22" s="4">
        <f t="shared" si="87"/>
        <v>0</v>
      </c>
      <c r="BF22" s="4">
        <f>AL22+AI22+AG22+AD22+AA22+X22+U22+R22+O22+L22+I22+F22</f>
        <v>0</v>
      </c>
      <c r="BG22" s="4">
        <f t="shared" si="89"/>
        <v>0</v>
      </c>
      <c r="BH22" s="4">
        <f t="shared" si="90"/>
        <v>0</v>
      </c>
      <c r="BI22" s="4">
        <f t="shared" si="91"/>
        <v>0</v>
      </c>
      <c r="BJ22" s="4">
        <f t="shared" si="92"/>
        <v>0</v>
      </c>
      <c r="BK22" s="4">
        <f t="shared" si="93"/>
        <v>0</v>
      </c>
      <c r="BL22" s="4">
        <f t="shared" si="94"/>
        <v>0</v>
      </c>
      <c r="BM22" s="4">
        <f t="shared" si="95"/>
        <v>0</v>
      </c>
      <c r="BN22" s="4">
        <f t="shared" si="96"/>
        <v>0</v>
      </c>
      <c r="BO22" s="4">
        <f t="shared" si="97"/>
        <v>0</v>
      </c>
      <c r="BP22" s="4">
        <f t="shared" si="98"/>
        <v>0</v>
      </c>
      <c r="BQ22" s="4">
        <f t="shared" si="99"/>
        <v>0</v>
      </c>
      <c r="BR22" s="4">
        <f t="shared" si="100"/>
        <v>0</v>
      </c>
      <c r="BS22" s="4">
        <f t="shared" si="101"/>
        <v>0</v>
      </c>
      <c r="BT22" s="4">
        <f t="shared" si="102"/>
        <v>0</v>
      </c>
      <c r="BU22" s="4">
        <f t="shared" si="103"/>
        <v>0</v>
      </c>
      <c r="BV22" s="4">
        <f t="shared" si="104"/>
        <v>0</v>
      </c>
      <c r="BW22" s="4">
        <f t="shared" si="105"/>
        <v>0</v>
      </c>
      <c r="BX22" s="4">
        <f t="shared" si="106"/>
        <v>0</v>
      </c>
      <c r="BY22" s="4">
        <f t="shared" si="107"/>
        <v>0</v>
      </c>
      <c r="BZ22" s="4">
        <f t="shared" si="108"/>
        <v>0</v>
      </c>
      <c r="CA22" s="4">
        <f t="shared" si="109"/>
        <v>0</v>
      </c>
      <c r="CB22" s="4">
        <f t="shared" si="110"/>
        <v>0</v>
      </c>
      <c r="CC22" s="4">
        <f t="shared" si="111"/>
        <v>0</v>
      </c>
      <c r="CD22" s="4">
        <f t="shared" si="112"/>
        <v>0</v>
      </c>
      <c r="CE22" s="4">
        <f t="shared" si="113"/>
        <v>0</v>
      </c>
      <c r="CF22" s="4">
        <f t="shared" si="114"/>
        <v>0</v>
      </c>
    </row>
    <row r="23" spans="1:94" s="4" customFormat="1" hidden="1" x14ac:dyDescent="0.2">
      <c r="B23" s="2"/>
      <c r="C23" s="4" t="s">
        <v>88</v>
      </c>
      <c r="E23" s="36">
        <f>D42-E42</f>
        <v>0</v>
      </c>
      <c r="F23" s="4">
        <f>F42-D42</f>
        <v>0</v>
      </c>
      <c r="G23" s="8">
        <f t="shared" si="60"/>
        <v>0</v>
      </c>
      <c r="H23" s="7">
        <f>E42-H42</f>
        <v>0</v>
      </c>
      <c r="I23" s="4">
        <f>I42-F42</f>
        <v>0</v>
      </c>
      <c r="J23" s="8">
        <f t="shared" si="61"/>
        <v>0</v>
      </c>
      <c r="K23" s="7">
        <f>H42-K42</f>
        <v>0</v>
      </c>
      <c r="L23" s="4">
        <f>L42-I42</f>
        <v>0</v>
      </c>
      <c r="M23" s="8">
        <f t="shared" si="62"/>
        <v>0</v>
      </c>
      <c r="N23" s="7">
        <f>K42-N42</f>
        <v>0</v>
      </c>
      <c r="O23" s="4">
        <f>O42-L42</f>
        <v>0</v>
      </c>
      <c r="P23" s="8">
        <f t="shared" si="63"/>
        <v>0</v>
      </c>
      <c r="Q23" s="7">
        <f>N42-Q42</f>
        <v>0</v>
      </c>
      <c r="R23" s="4">
        <f>-R42+O42</f>
        <v>0</v>
      </c>
      <c r="S23" s="8">
        <f t="shared" si="64"/>
        <v>0</v>
      </c>
      <c r="T23" s="7">
        <f>Q42-T42</f>
        <v>0</v>
      </c>
      <c r="U23" s="4">
        <f>-U42+R42</f>
        <v>0</v>
      </c>
      <c r="V23" s="8">
        <f t="shared" si="65"/>
        <v>0</v>
      </c>
      <c r="W23" s="7">
        <f>T42-W42</f>
        <v>0</v>
      </c>
      <c r="X23" s="4">
        <f>-X42+U42</f>
        <v>0</v>
      </c>
      <c r="Y23" s="8">
        <f t="shared" si="66"/>
        <v>0</v>
      </c>
      <c r="Z23" s="7">
        <f>W42-Z42</f>
        <v>0</v>
      </c>
      <c r="AA23" s="4">
        <f>-AA42+X42</f>
        <v>0</v>
      </c>
      <c r="AB23" s="8">
        <f t="shared" si="67"/>
        <v>0</v>
      </c>
      <c r="AC23" s="7">
        <f>Z42-AC42</f>
        <v>0</v>
      </c>
      <c r="AD23" s="4">
        <f>-AD42+AA42</f>
        <v>0</v>
      </c>
      <c r="AE23" s="8">
        <f t="shared" si="68"/>
        <v>0</v>
      </c>
      <c r="AF23" s="7">
        <f>AC42-AF42</f>
        <v>0</v>
      </c>
      <c r="AG23" s="4">
        <f>-AG42+AD42</f>
        <v>0</v>
      </c>
      <c r="AH23" s="8">
        <f t="shared" si="69"/>
        <v>0</v>
      </c>
      <c r="AI23" s="7">
        <f>AF42-AI42</f>
        <v>0</v>
      </c>
      <c r="AJ23" s="4">
        <f>-AJ42+AG42</f>
        <v>0</v>
      </c>
      <c r="AK23" s="8">
        <f t="shared" si="70"/>
        <v>0</v>
      </c>
      <c r="AL23" s="7">
        <f>AI42-AL42</f>
        <v>0</v>
      </c>
      <c r="AM23" s="1">
        <f>-AM42+AJ42</f>
        <v>0</v>
      </c>
      <c r="AN23" s="8">
        <f t="shared" si="71"/>
        <v>0</v>
      </c>
      <c r="AO23" s="73">
        <f t="shared" si="73"/>
        <v>0</v>
      </c>
      <c r="AP23" s="80">
        <f t="shared" si="74"/>
        <v>0</v>
      </c>
      <c r="AQ23" s="22">
        <f t="shared" si="75"/>
        <v>0</v>
      </c>
      <c r="AR23" s="7" t="str">
        <f t="shared" si="76"/>
        <v>Ændring skyldige lønomkostninger</v>
      </c>
      <c r="AT23" s="22">
        <f>BT23</f>
        <v>0</v>
      </c>
      <c r="AU23" s="88">
        <f t="shared" si="77"/>
        <v>0</v>
      </c>
      <c r="AV23" s="22">
        <f t="shared" si="78"/>
        <v>0</v>
      </c>
      <c r="AW23" s="4">
        <f t="shared" si="79"/>
        <v>0</v>
      </c>
      <c r="AX23" s="4">
        <f t="shared" si="80"/>
        <v>0</v>
      </c>
      <c r="AY23" s="4">
        <f t="shared" si="81"/>
        <v>0</v>
      </c>
      <c r="AZ23" s="4">
        <f t="shared" si="82"/>
        <v>0</v>
      </c>
      <c r="BA23" s="4">
        <f t="shared" si="83"/>
        <v>0</v>
      </c>
      <c r="BB23" s="4">
        <f t="shared" si="84"/>
        <v>0</v>
      </c>
      <c r="BC23" s="4">
        <f t="shared" si="85"/>
        <v>0</v>
      </c>
      <c r="BD23" s="4">
        <f t="shared" si="86"/>
        <v>0</v>
      </c>
      <c r="BE23" s="4">
        <f t="shared" si="87"/>
        <v>0</v>
      </c>
      <c r="BF23" s="4">
        <f t="shared" si="88"/>
        <v>0</v>
      </c>
      <c r="BG23" s="4">
        <f t="shared" si="89"/>
        <v>0</v>
      </c>
      <c r="BH23" s="4">
        <f t="shared" si="90"/>
        <v>0</v>
      </c>
      <c r="BI23" s="4">
        <f t="shared" si="91"/>
        <v>0</v>
      </c>
      <c r="BJ23" s="4">
        <f t="shared" si="92"/>
        <v>0</v>
      </c>
      <c r="BK23" s="4">
        <f t="shared" si="93"/>
        <v>0</v>
      </c>
      <c r="BL23" s="4">
        <f t="shared" si="94"/>
        <v>0</v>
      </c>
      <c r="BM23" s="4">
        <f t="shared" si="95"/>
        <v>0</v>
      </c>
      <c r="BN23" s="4">
        <f t="shared" si="96"/>
        <v>0</v>
      </c>
      <c r="BO23" s="4">
        <f t="shared" si="97"/>
        <v>0</v>
      </c>
      <c r="BP23" s="4">
        <f t="shared" si="98"/>
        <v>0</v>
      </c>
      <c r="BQ23" s="4">
        <f t="shared" si="99"/>
        <v>0</v>
      </c>
      <c r="BR23" s="4">
        <f t="shared" si="100"/>
        <v>0</v>
      </c>
      <c r="BS23" s="4">
        <f t="shared" si="101"/>
        <v>0</v>
      </c>
      <c r="BT23" s="4">
        <f t="shared" si="102"/>
        <v>0</v>
      </c>
      <c r="BU23" s="4">
        <f t="shared" si="103"/>
        <v>0</v>
      </c>
      <c r="BV23" s="4">
        <f t="shared" si="104"/>
        <v>0</v>
      </c>
      <c r="BW23" s="4">
        <f t="shared" si="105"/>
        <v>0</v>
      </c>
      <c r="BX23" s="4">
        <f t="shared" si="106"/>
        <v>0</v>
      </c>
      <c r="BY23" s="4">
        <f t="shared" si="107"/>
        <v>0</v>
      </c>
      <c r="BZ23" s="4">
        <f t="shared" si="108"/>
        <v>0</v>
      </c>
      <c r="CA23" s="4">
        <f t="shared" si="109"/>
        <v>0</v>
      </c>
      <c r="CB23" s="4">
        <f t="shared" si="110"/>
        <v>0</v>
      </c>
      <c r="CC23" s="4">
        <f t="shared" si="111"/>
        <v>0</v>
      </c>
      <c r="CD23" s="4">
        <f t="shared" si="112"/>
        <v>0</v>
      </c>
      <c r="CE23" s="4">
        <f t="shared" si="113"/>
        <v>0</v>
      </c>
      <c r="CF23" s="4">
        <f t="shared" si="114"/>
        <v>0</v>
      </c>
    </row>
    <row r="24" spans="1:94" s="4" customFormat="1" hidden="1" x14ac:dyDescent="0.2">
      <c r="B24" s="2"/>
      <c r="E24" s="36"/>
      <c r="G24" s="8"/>
      <c r="H24" s="7"/>
      <c r="J24" s="8">
        <f t="shared" si="61"/>
        <v>0</v>
      </c>
      <c r="K24" s="7"/>
      <c r="M24" s="8"/>
      <c r="N24" s="7"/>
      <c r="P24" s="8"/>
      <c r="Q24" s="7"/>
      <c r="S24" s="8"/>
      <c r="T24" s="7"/>
      <c r="V24" s="8"/>
      <c r="W24" s="7"/>
      <c r="Y24" s="8">
        <f t="shared" si="66"/>
        <v>0</v>
      </c>
      <c r="Z24" s="7"/>
      <c r="AB24" s="8">
        <f t="shared" si="67"/>
        <v>0</v>
      </c>
      <c r="AC24" s="7"/>
      <c r="AE24" s="8">
        <f t="shared" si="68"/>
        <v>0</v>
      </c>
      <c r="AF24" s="7"/>
      <c r="AH24" s="8">
        <f t="shared" si="69"/>
        <v>0</v>
      </c>
      <c r="AI24" s="7"/>
      <c r="AK24" s="8">
        <f t="shared" si="70"/>
        <v>0</v>
      </c>
      <c r="AL24" s="7"/>
      <c r="AM24" s="1"/>
      <c r="AN24" s="8">
        <f t="shared" si="71"/>
        <v>0</v>
      </c>
      <c r="AO24" s="74">
        <f t="shared" si="72"/>
        <v>0</v>
      </c>
      <c r="AP24" s="77">
        <f t="shared" si="72"/>
        <v>0</v>
      </c>
      <c r="AQ24" s="22">
        <f t="shared" si="75"/>
        <v>0</v>
      </c>
      <c r="AR24" s="7">
        <f t="shared" si="76"/>
        <v>0</v>
      </c>
      <c r="AT24" s="22">
        <v>0</v>
      </c>
      <c r="AU24" s="88">
        <f t="shared" si="77"/>
        <v>0</v>
      </c>
      <c r="AV24" s="22">
        <f t="shared" si="78"/>
        <v>0</v>
      </c>
      <c r="AW24" s="4">
        <f t="shared" si="79"/>
        <v>0</v>
      </c>
      <c r="AX24" s="4">
        <f t="shared" si="80"/>
        <v>0</v>
      </c>
      <c r="AY24" s="4">
        <f t="shared" si="81"/>
        <v>0</v>
      </c>
      <c r="AZ24" s="4">
        <f t="shared" si="82"/>
        <v>0</v>
      </c>
      <c r="BA24" s="4">
        <f t="shared" si="83"/>
        <v>0</v>
      </c>
      <c r="BB24" s="4">
        <f t="shared" si="84"/>
        <v>0</v>
      </c>
      <c r="BC24" s="4">
        <f t="shared" si="85"/>
        <v>0</v>
      </c>
      <c r="BD24" s="4">
        <f t="shared" si="86"/>
        <v>0</v>
      </c>
      <c r="BE24" s="4">
        <f t="shared" si="87"/>
        <v>0</v>
      </c>
      <c r="BF24" s="4">
        <f t="shared" si="88"/>
        <v>0</v>
      </c>
      <c r="BG24" s="4">
        <f t="shared" si="89"/>
        <v>0</v>
      </c>
      <c r="BH24" s="4">
        <f t="shared" si="90"/>
        <v>0</v>
      </c>
    </row>
    <row r="25" spans="1:94" s="4" customFormat="1" hidden="1" x14ac:dyDescent="0.2">
      <c r="B25" s="62"/>
      <c r="C25" s="4" t="s">
        <v>6</v>
      </c>
      <c r="E25" s="36">
        <f>SUM(E15:E24)</f>
        <v>0</v>
      </c>
      <c r="F25" s="4">
        <f>SUM(F15:F24)</f>
        <v>0</v>
      </c>
      <c r="G25" s="8">
        <f t="shared" si="60"/>
        <v>0</v>
      </c>
      <c r="H25" s="7">
        <f>SUM(H15:H24)</f>
        <v>0</v>
      </c>
      <c r="I25" s="4">
        <f>SUM(I15:I24)</f>
        <v>0</v>
      </c>
      <c r="J25" s="8">
        <f t="shared" si="61"/>
        <v>0</v>
      </c>
      <c r="K25" s="7">
        <f>SUM(K15:K24)</f>
        <v>0</v>
      </c>
      <c r="L25" s="4">
        <f>SUM(L15:L24)</f>
        <v>0</v>
      </c>
      <c r="M25" s="8">
        <f t="shared" ref="M25:M26" si="130">L25-K25</f>
        <v>0</v>
      </c>
      <c r="N25" s="7">
        <f>SUM(N15:N24)</f>
        <v>0</v>
      </c>
      <c r="O25" s="4">
        <f>SUM(O15:O24)</f>
        <v>0</v>
      </c>
      <c r="P25" s="8">
        <f t="shared" ref="P25:P26" si="131">O25-N25</f>
        <v>0</v>
      </c>
      <c r="Q25" s="7">
        <f>SUM(Q15:Q24)</f>
        <v>0</v>
      </c>
      <c r="R25" s="4">
        <f>SUM(R15:R24)</f>
        <v>0</v>
      </c>
      <c r="S25" s="8">
        <f t="shared" ref="S25:S26" si="132">R25-Q25</f>
        <v>0</v>
      </c>
      <c r="T25" s="7">
        <f>SUM(T15:T24)</f>
        <v>0</v>
      </c>
      <c r="U25" s="4">
        <f>SUM(U15:U24)</f>
        <v>0</v>
      </c>
      <c r="V25" s="8">
        <f t="shared" ref="V25:V26" si="133">U25-T25</f>
        <v>0</v>
      </c>
      <c r="W25" s="7">
        <f>SUM(W15:W24)</f>
        <v>0</v>
      </c>
      <c r="X25" s="4">
        <f>SUM(X15:X24)</f>
        <v>0</v>
      </c>
      <c r="Y25" s="8">
        <f t="shared" si="66"/>
        <v>0</v>
      </c>
      <c r="Z25" s="7">
        <f>SUM(Z15:Z24)</f>
        <v>0</v>
      </c>
      <c r="AA25" s="4">
        <f>SUM(AA15:AA24)</f>
        <v>0</v>
      </c>
      <c r="AB25" s="8">
        <f t="shared" si="67"/>
        <v>0</v>
      </c>
      <c r="AC25" s="7">
        <f>SUM(AC15:AC24)</f>
        <v>0</v>
      </c>
      <c r="AD25" s="4">
        <f>SUM(AD15:AD24)</f>
        <v>0</v>
      </c>
      <c r="AE25" s="8">
        <f t="shared" si="68"/>
        <v>0</v>
      </c>
      <c r="AF25" s="7">
        <f>SUM(AF15:AF24)</f>
        <v>0</v>
      </c>
      <c r="AG25" s="4">
        <f>SUM(AG15:AG24)</f>
        <v>0</v>
      </c>
      <c r="AH25" s="8">
        <f t="shared" si="69"/>
        <v>0</v>
      </c>
      <c r="AI25" s="7">
        <f>SUM(AI15:AI24)</f>
        <v>0</v>
      </c>
      <c r="AJ25" s="4">
        <f>SUM(AJ15:AJ24)</f>
        <v>0</v>
      </c>
      <c r="AK25" s="8">
        <f t="shared" si="70"/>
        <v>0</v>
      </c>
      <c r="AL25" s="7">
        <f>SUM(AL15:AL24)</f>
        <v>0</v>
      </c>
      <c r="AM25" s="1">
        <f>SUM(AM15:AM24)</f>
        <v>0</v>
      </c>
      <c r="AN25" s="8">
        <f t="shared" si="71"/>
        <v>0</v>
      </c>
      <c r="AO25" s="73">
        <f>SUM(AO15:AO24)</f>
        <v>0</v>
      </c>
      <c r="AP25" s="80">
        <f>SUM(AP15:AP24)</f>
        <v>0</v>
      </c>
      <c r="AQ25" s="22">
        <f>AP25-AO25</f>
        <v>0</v>
      </c>
      <c r="AR25" s="7" t="s">
        <v>23</v>
      </c>
      <c r="AT25" s="22">
        <f>SUM(AT15:AT24)</f>
        <v>165140</v>
      </c>
      <c r="AU25" s="88">
        <f>SUM(AU15:AU24)</f>
        <v>0</v>
      </c>
      <c r="AV25" s="22">
        <f>AU25-AT25</f>
        <v>-165140</v>
      </c>
      <c r="AW25" s="4">
        <f t="shared" si="79"/>
        <v>0</v>
      </c>
      <c r="AX25" s="4">
        <f t="shared" si="80"/>
        <v>0</v>
      </c>
      <c r="AY25" s="4">
        <f t="shared" si="81"/>
        <v>0</v>
      </c>
      <c r="AZ25" s="4">
        <f t="shared" si="82"/>
        <v>0</v>
      </c>
      <c r="BA25" s="4">
        <f t="shared" si="83"/>
        <v>0</v>
      </c>
      <c r="BB25" s="4">
        <f t="shared" si="84"/>
        <v>0</v>
      </c>
      <c r="BC25" s="4">
        <f t="shared" si="85"/>
        <v>0</v>
      </c>
      <c r="BD25" s="4">
        <f t="shared" si="86"/>
        <v>0</v>
      </c>
      <c r="BE25" s="4">
        <f t="shared" si="87"/>
        <v>0</v>
      </c>
      <c r="BF25" s="4">
        <f t="shared" si="88"/>
        <v>0</v>
      </c>
      <c r="BG25" s="4">
        <f t="shared" si="89"/>
        <v>0</v>
      </c>
      <c r="BH25" s="4">
        <f t="shared" si="90"/>
        <v>0</v>
      </c>
    </row>
    <row r="26" spans="1:94" s="4" customFormat="1" hidden="1" x14ac:dyDescent="0.2">
      <c r="C26" s="4" t="s">
        <v>5</v>
      </c>
      <c r="E26" s="36">
        <f>IF($F$1=3,E53,E52)</f>
        <v>0</v>
      </c>
      <c r="F26" s="4">
        <f>D28+F25</f>
        <v>0</v>
      </c>
      <c r="G26" s="8">
        <f t="shared" si="60"/>
        <v>0</v>
      </c>
      <c r="H26" s="7">
        <f>IF($F$1=3,H53,H52)</f>
        <v>0</v>
      </c>
      <c r="I26" s="4">
        <f>F28+I25</f>
        <v>0</v>
      </c>
      <c r="J26" s="8">
        <f t="shared" si="61"/>
        <v>0</v>
      </c>
      <c r="K26" s="7">
        <f>IF($F$1=3,K53,K52)</f>
        <v>0</v>
      </c>
      <c r="L26" s="4">
        <f>I28+L25</f>
        <v>0</v>
      </c>
      <c r="M26" s="8">
        <f t="shared" si="130"/>
        <v>0</v>
      </c>
      <c r="N26" s="7">
        <f>IF($F$1=3,N53,N52)</f>
        <v>0</v>
      </c>
      <c r="O26" s="4">
        <f>L28+O25</f>
        <v>0</v>
      </c>
      <c r="P26" s="8">
        <f t="shared" si="131"/>
        <v>0</v>
      </c>
      <c r="Q26" s="7">
        <f>IF($F$1=3,Q53,Q52)</f>
        <v>0</v>
      </c>
      <c r="R26" s="4">
        <f>O28+R25</f>
        <v>0</v>
      </c>
      <c r="S26" s="8">
        <f t="shared" si="132"/>
        <v>0</v>
      </c>
      <c r="T26" s="7">
        <f>IF($F$1=3,T53,T52)</f>
        <v>0</v>
      </c>
      <c r="U26" s="4">
        <f>R28+U25</f>
        <v>0</v>
      </c>
      <c r="V26" s="8">
        <f t="shared" si="133"/>
        <v>0</v>
      </c>
      <c r="W26" s="7">
        <f>IF($F$1=3,W53,W52)</f>
        <v>0</v>
      </c>
      <c r="X26" s="4">
        <f>U28+X25</f>
        <v>0</v>
      </c>
      <c r="Y26" s="8">
        <f t="shared" si="66"/>
        <v>0</v>
      </c>
      <c r="Z26" s="7">
        <f>IF($F$1=3,Z53,Z52)</f>
        <v>0</v>
      </c>
      <c r="AA26" s="4">
        <f>X28+AA25</f>
        <v>0</v>
      </c>
      <c r="AB26" s="8">
        <f t="shared" si="67"/>
        <v>0</v>
      </c>
      <c r="AC26" s="7">
        <f>IF($F$1=3,AC53,AC52)</f>
        <v>0</v>
      </c>
      <c r="AD26" s="4">
        <f>AA28+AD25</f>
        <v>0</v>
      </c>
      <c r="AE26" s="8">
        <f t="shared" si="68"/>
        <v>0</v>
      </c>
      <c r="AF26" s="7">
        <f>IF($F$1=3,AF53,AF52)</f>
        <v>0</v>
      </c>
      <c r="AG26" s="4">
        <f>AD28+AG25</f>
        <v>0</v>
      </c>
      <c r="AH26" s="8">
        <f t="shared" si="69"/>
        <v>0</v>
      </c>
      <c r="AI26" s="7">
        <f>IF($F$1=3,AI53,AI52)</f>
        <v>0</v>
      </c>
      <c r="AJ26" s="4">
        <f>AG28+AJ25</f>
        <v>0</v>
      </c>
      <c r="AK26" s="8">
        <f t="shared" si="70"/>
        <v>0</v>
      </c>
      <c r="AL26" s="7">
        <f>IF($F$1=3,AL53,AL52)</f>
        <v>0</v>
      </c>
      <c r="AM26" s="1">
        <f>AJ28+AM25</f>
        <v>0</v>
      </c>
      <c r="AN26" s="8">
        <f t="shared" si="71"/>
        <v>0</v>
      </c>
      <c r="AO26" s="73"/>
      <c r="AP26" s="80"/>
      <c r="AQ26" s="22">
        <f>AO26-AP26</f>
        <v>0</v>
      </c>
      <c r="AT26" s="22"/>
      <c r="AU26" s="88"/>
      <c r="AV26" s="22">
        <f>AT26-AU26</f>
        <v>0</v>
      </c>
      <c r="AW26" s="4">
        <f>F26</f>
        <v>0</v>
      </c>
      <c r="AX26" s="4">
        <f>I26</f>
        <v>0</v>
      </c>
      <c r="AY26" s="4">
        <f>L26</f>
        <v>0</v>
      </c>
      <c r="AZ26" s="4">
        <f>O26</f>
        <v>0</v>
      </c>
      <c r="BA26" s="4">
        <f>R26</f>
        <v>0</v>
      </c>
      <c r="BB26" s="4">
        <f>U26</f>
        <v>0</v>
      </c>
      <c r="BC26" s="4">
        <f>X26</f>
        <v>0</v>
      </c>
      <c r="BD26" s="4">
        <f>AA26</f>
        <v>0</v>
      </c>
      <c r="BE26" s="4">
        <f>AD26</f>
        <v>0</v>
      </c>
      <c r="BF26" s="4">
        <f>AG26</f>
        <v>0</v>
      </c>
      <c r="BG26" s="4">
        <f>AJ26</f>
        <v>0</v>
      </c>
      <c r="BH26" s="4">
        <f>AM26</f>
        <v>0</v>
      </c>
    </row>
    <row r="27" spans="1:94" s="4" customFormat="1" hidden="1" x14ac:dyDescent="0.2">
      <c r="B27" s="2"/>
      <c r="C27" s="4" t="s">
        <v>4</v>
      </c>
      <c r="E27" s="7"/>
      <c r="F27" s="46">
        <f>F26-F28</f>
        <v>0</v>
      </c>
      <c r="G27" s="47"/>
      <c r="H27" s="48"/>
      <c r="I27" s="46">
        <f>I26-I28</f>
        <v>0</v>
      </c>
      <c r="J27" s="47"/>
      <c r="K27" s="48"/>
      <c r="L27" s="46">
        <f>L26-L28</f>
        <v>0</v>
      </c>
      <c r="M27" s="47"/>
      <c r="N27" s="48"/>
      <c r="O27" s="46">
        <f>O26-O28</f>
        <v>0</v>
      </c>
      <c r="P27" s="47"/>
      <c r="Q27" s="48"/>
      <c r="R27" s="46">
        <f>R26-R28</f>
        <v>0</v>
      </c>
      <c r="S27" s="47"/>
      <c r="T27" s="48"/>
      <c r="U27" s="46">
        <f>U26-U28</f>
        <v>0</v>
      </c>
      <c r="V27" s="47"/>
      <c r="W27" s="48"/>
      <c r="X27" s="46">
        <f>X26-X28</f>
        <v>0</v>
      </c>
      <c r="Y27" s="47"/>
      <c r="Z27" s="48"/>
      <c r="AA27" s="46">
        <f>AA26-AA28</f>
        <v>0</v>
      </c>
      <c r="AB27" s="47"/>
      <c r="AC27" s="48"/>
      <c r="AD27" s="46">
        <f>AD26-AD28</f>
        <v>0</v>
      </c>
      <c r="AE27" s="47"/>
      <c r="AF27" s="48"/>
      <c r="AG27" s="46">
        <f>AG26-AG28</f>
        <v>0</v>
      </c>
      <c r="AH27" s="47"/>
      <c r="AI27" s="48"/>
      <c r="AJ27" s="46">
        <f>AJ26-AJ28</f>
        <v>0</v>
      </c>
      <c r="AK27" s="47"/>
      <c r="AL27" s="48"/>
      <c r="AM27" s="46">
        <f>AM26-AM28</f>
        <v>0</v>
      </c>
      <c r="AN27" s="8"/>
      <c r="AO27" s="74">
        <f>AL27+AI27+AF27+AC27+Z27+W27+T27+Q27+N27+K27+H27+E27</f>
        <v>0</v>
      </c>
      <c r="AP27" s="77"/>
      <c r="AQ27" s="34">
        <f>AO27-AP27</f>
        <v>0</v>
      </c>
      <c r="AR27" s="4" t="str">
        <f>C27</f>
        <v>Diff</v>
      </c>
      <c r="AT27" s="22"/>
      <c r="AU27" s="88">
        <f>INDEX(AW27:BH27,1,$I$1)</f>
        <v>0</v>
      </c>
      <c r="AV27" s="34">
        <f>AT27-AU27</f>
        <v>0</v>
      </c>
      <c r="AW27" s="4">
        <f>F27</f>
        <v>0</v>
      </c>
      <c r="AX27" s="4">
        <f>I27</f>
        <v>0</v>
      </c>
      <c r="AY27" s="4">
        <f>L27</f>
        <v>0</v>
      </c>
      <c r="AZ27" s="4">
        <f>O27</f>
        <v>0</v>
      </c>
      <c r="BA27" s="4">
        <f>R27</f>
        <v>0</v>
      </c>
      <c r="BB27" s="4">
        <f>U27</f>
        <v>0</v>
      </c>
      <c r="BC27" s="4">
        <f>X27</f>
        <v>0</v>
      </c>
      <c r="BD27" s="4">
        <f>AA27</f>
        <v>0</v>
      </c>
      <c r="BE27" s="4">
        <f>AD27</f>
        <v>0</v>
      </c>
      <c r="BF27" s="4">
        <f>AG27</f>
        <v>0</v>
      </c>
      <c r="BG27" s="4">
        <f>AJ27</f>
        <v>0</v>
      </c>
      <c r="BH27" s="4">
        <f>AM27</f>
        <v>0</v>
      </c>
    </row>
    <row r="28" spans="1:94" s="6" customFormat="1" hidden="1" x14ac:dyDescent="0.2">
      <c r="A28" s="6" t="s">
        <v>59</v>
      </c>
      <c r="B28" s="10"/>
      <c r="D28" s="6">
        <f>SUM(D35)</f>
        <v>0</v>
      </c>
      <c r="E28" s="19" t="str">
        <f>IF(RealMaaned&lt;1,E53,"")</f>
        <v/>
      </c>
      <c r="F28" s="6">
        <f>E53</f>
        <v>0</v>
      </c>
      <c r="G28" s="18"/>
      <c r="H28" s="19" t="str">
        <f>IF(RealMaaned&lt;2,H53,"")</f>
        <v/>
      </c>
      <c r="I28" s="6">
        <f>H53</f>
        <v>0</v>
      </c>
      <c r="J28" s="18"/>
      <c r="K28" s="19"/>
      <c r="L28" s="6">
        <f>K53</f>
        <v>0</v>
      </c>
      <c r="M28" s="18"/>
      <c r="N28" s="19"/>
      <c r="O28" s="6">
        <f>N53</f>
        <v>0</v>
      </c>
      <c r="P28" s="18"/>
      <c r="Q28" s="19"/>
      <c r="R28" s="6">
        <f>Q53</f>
        <v>0</v>
      </c>
      <c r="S28" s="18"/>
      <c r="T28" s="19"/>
      <c r="U28" s="6">
        <f>T53</f>
        <v>0</v>
      </c>
      <c r="V28" s="18"/>
      <c r="W28" s="19"/>
      <c r="X28" s="6">
        <f>W53</f>
        <v>0</v>
      </c>
      <c r="Y28" s="18"/>
      <c r="Z28" s="19"/>
      <c r="AA28" s="6">
        <f>Z53</f>
        <v>0</v>
      </c>
      <c r="AB28" s="18"/>
      <c r="AC28" s="19"/>
      <c r="AD28" s="6">
        <f>AC53</f>
        <v>0</v>
      </c>
      <c r="AE28" s="18"/>
      <c r="AF28" s="19"/>
      <c r="AG28" s="6">
        <f>AF53</f>
        <v>0</v>
      </c>
      <c r="AH28" s="18"/>
      <c r="AI28" s="19"/>
      <c r="AJ28" s="6">
        <f>AI53</f>
        <v>0</v>
      </c>
      <c r="AK28" s="18"/>
      <c r="AL28" s="19"/>
      <c r="AM28" s="6">
        <f>AL53</f>
        <v>0</v>
      </c>
      <c r="AN28" s="18"/>
      <c r="AO28" s="75">
        <f>AO25+D28</f>
        <v>0</v>
      </c>
      <c r="AP28" s="81">
        <f>D28+AP25</f>
        <v>0</v>
      </c>
      <c r="AQ28" s="17">
        <f>AP28-AO28</f>
        <v>0</v>
      </c>
      <c r="AR28" s="11" t="s">
        <v>25</v>
      </c>
      <c r="AT28" s="17">
        <f>AT25-5441</f>
        <v>159699</v>
      </c>
      <c r="AU28" s="89">
        <f>AU25+AU27+D28</f>
        <v>0</v>
      </c>
      <c r="AV28" s="17">
        <f>AU28-AT28</f>
        <v>-159699</v>
      </c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</row>
    <row r="29" spans="1:94" s="4" customFormat="1" hidden="1" x14ac:dyDescent="0.2">
      <c r="B29" s="2"/>
      <c r="D29" s="16" t="s">
        <v>71</v>
      </c>
      <c r="E29" s="43">
        <v>0.5</v>
      </c>
      <c r="F29" s="44" t="str">
        <f>IF(F4&gt;0,F34/F4,"")</f>
        <v/>
      </c>
      <c r="H29" s="43">
        <v>0.5</v>
      </c>
      <c r="I29" s="44" t="str">
        <f>IF(I4&gt;0,I34/I4,"")</f>
        <v/>
      </c>
      <c r="K29" s="43">
        <v>0.5</v>
      </c>
      <c r="L29" s="44" t="str">
        <f>IF(L4&gt;0,L34/L4,"")</f>
        <v/>
      </c>
      <c r="N29" s="43">
        <v>0.5</v>
      </c>
      <c r="O29" s="44" t="str">
        <f>IF(O4&gt;0,O34/O4,"")</f>
        <v/>
      </c>
      <c r="Q29" s="43">
        <v>0.5</v>
      </c>
      <c r="R29" s="44" t="str">
        <f>IF(R4&gt;0,R34/R4,"")</f>
        <v/>
      </c>
      <c r="T29" s="43">
        <v>0.5</v>
      </c>
      <c r="U29" s="44" t="str">
        <f>IF(U4&gt;0,U34/U4,"")</f>
        <v/>
      </c>
      <c r="W29" s="43">
        <v>0.5</v>
      </c>
      <c r="X29" s="44" t="str">
        <f>IF(X4&gt;0,X34/X4,"")</f>
        <v/>
      </c>
      <c r="Z29" s="43">
        <v>0.5</v>
      </c>
      <c r="AA29" s="44" t="str">
        <f>IF(AA4&gt;0,AA34/AA4,"")</f>
        <v/>
      </c>
      <c r="AC29" s="43">
        <v>0.5</v>
      </c>
      <c r="AD29" s="44" t="str">
        <f>IF(AD4&gt;0,AD34/AD4,"")</f>
        <v/>
      </c>
      <c r="AF29" s="43">
        <v>0.5</v>
      </c>
      <c r="AG29" s="44" t="str">
        <f>IF(AG4&gt;0,AG34/AG4,"")</f>
        <v/>
      </c>
      <c r="AI29" s="43">
        <v>0.5</v>
      </c>
      <c r="AJ29" s="44" t="str">
        <f>IF(AJ4&gt;0,AJ34/AJ4,"")</f>
        <v/>
      </c>
      <c r="AL29" s="43">
        <v>0.5</v>
      </c>
      <c r="AM29" s="44" t="str">
        <f>IF(AM4&gt;0,AM34/AM4,"")</f>
        <v/>
      </c>
      <c r="AO29" s="5"/>
    </row>
    <row r="30" spans="1:94" hidden="1" x14ac:dyDescent="0.2">
      <c r="A30" s="4"/>
      <c r="C30" s="4"/>
      <c r="D30" s="16" t="s">
        <v>70</v>
      </c>
      <c r="E30" s="43">
        <v>0.8</v>
      </c>
      <c r="F30" s="44" t="str">
        <f>IF(F40&lt;&gt;0,F40/SUM(F5:F14),"")</f>
        <v/>
      </c>
      <c r="G30" s="4"/>
      <c r="H30" s="43">
        <v>0.8</v>
      </c>
      <c r="I30" s="44" t="str">
        <f>IF(I40&lt;&gt;0,I40/SUM(I5:I14),"")</f>
        <v/>
      </c>
      <c r="J30" s="4"/>
      <c r="K30" s="43">
        <v>0.8</v>
      </c>
      <c r="L30" s="44" t="str">
        <f>IF(L40&lt;&gt;0,L40/SUM(L5:L14),"")</f>
        <v/>
      </c>
      <c r="M30" s="4"/>
      <c r="N30" s="43">
        <v>0.8</v>
      </c>
      <c r="O30" s="44" t="str">
        <f>IF(O40&lt;&gt;0,O40/SUM(O5:O14),"")</f>
        <v/>
      </c>
      <c r="P30" s="4"/>
      <c r="Q30" s="43">
        <v>0.8</v>
      </c>
      <c r="R30" s="44" t="str">
        <f>IF(R40&lt;&gt;0,R40/SUM(R5:R14),"")</f>
        <v/>
      </c>
      <c r="S30" s="4"/>
      <c r="T30" s="43">
        <v>0.8</v>
      </c>
      <c r="U30" s="44" t="str">
        <f>IF(U40&lt;&gt;0,U40/SUM(U5:U14),"")</f>
        <v/>
      </c>
      <c r="V30" s="4"/>
      <c r="W30" s="43">
        <v>0.8</v>
      </c>
      <c r="X30" s="44" t="str">
        <f>IF(X40&lt;&gt;0,X40/SUM(X5:X14),"")</f>
        <v/>
      </c>
      <c r="Y30" s="4"/>
      <c r="Z30" s="43">
        <v>0.8</v>
      </c>
      <c r="AA30" s="44" t="str">
        <f>IF(AA40&lt;&gt;0,AA40/SUM(AA5:AA14),"")</f>
        <v/>
      </c>
      <c r="AB30" s="4"/>
      <c r="AC30" s="43">
        <v>0.8</v>
      </c>
      <c r="AD30" s="44" t="str">
        <f>IF(AD40&lt;&gt;0,AD40/SUM(AD5:AD14),"")</f>
        <v/>
      </c>
      <c r="AE30" s="4"/>
      <c r="AF30" s="43">
        <v>0.8</v>
      </c>
      <c r="AG30" s="44" t="str">
        <f>IF(AG40&lt;&gt;0,AG40/SUM(AG5:AG14),"")</f>
        <v/>
      </c>
      <c r="AH30" s="4"/>
      <c r="AI30" s="43">
        <v>0.8</v>
      </c>
      <c r="AJ30" s="44" t="str">
        <f>IF(AJ40&lt;&gt;0,AJ40/SUM(AJ5:AJ14),"")</f>
        <v/>
      </c>
      <c r="AK30" s="4"/>
      <c r="AL30" s="43">
        <v>0.8</v>
      </c>
      <c r="AM30" s="44" t="str">
        <f>IF(AM40&lt;&gt;0,AM40/SUM(AM5:AM14),"")</f>
        <v/>
      </c>
      <c r="AN30" s="4"/>
      <c r="AO30" s="5"/>
      <c r="AP30" s="4"/>
      <c r="AQ30" s="4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</row>
    <row r="31" spans="1:94" hidden="1" x14ac:dyDescent="0.2">
      <c r="A31" s="4"/>
      <c r="C31" s="4"/>
      <c r="D31" s="37"/>
      <c r="E31" s="112" t="s">
        <v>14</v>
      </c>
      <c r="F31" s="113"/>
      <c r="G31" s="114"/>
      <c r="H31" s="112" t="s">
        <v>15</v>
      </c>
      <c r="I31" s="113"/>
      <c r="J31" s="114"/>
      <c r="K31" s="112" t="s">
        <v>16</v>
      </c>
      <c r="L31" s="113"/>
      <c r="M31" s="114"/>
      <c r="N31" s="112" t="s">
        <v>17</v>
      </c>
      <c r="O31" s="113"/>
      <c r="P31" s="114"/>
      <c r="Q31" s="112" t="s">
        <v>0</v>
      </c>
      <c r="R31" s="113"/>
      <c r="S31" s="114"/>
      <c r="T31" s="112" t="s">
        <v>18</v>
      </c>
      <c r="U31" s="113"/>
      <c r="V31" s="114"/>
      <c r="W31" s="112" t="s">
        <v>8</v>
      </c>
      <c r="X31" s="113"/>
      <c r="Y31" s="114"/>
      <c r="Z31" s="112" t="s">
        <v>9</v>
      </c>
      <c r="AA31" s="113"/>
      <c r="AB31" s="114"/>
      <c r="AC31" s="112" t="s">
        <v>10</v>
      </c>
      <c r="AD31" s="113"/>
      <c r="AE31" s="114"/>
      <c r="AF31" s="112" t="s">
        <v>11</v>
      </c>
      <c r="AG31" s="113"/>
      <c r="AH31" s="114"/>
      <c r="AI31" s="112" t="s">
        <v>12</v>
      </c>
      <c r="AJ31" s="113"/>
      <c r="AK31" s="114"/>
      <c r="AL31" s="112" t="s">
        <v>13</v>
      </c>
      <c r="AM31" s="113"/>
      <c r="AN31" s="114"/>
      <c r="AO31" s="64"/>
      <c r="AP31" s="4"/>
      <c r="AQ31" s="4"/>
    </row>
    <row r="32" spans="1:94" s="4" customFormat="1" hidden="1" x14ac:dyDescent="0.2">
      <c r="A32" s="2"/>
      <c r="B32" s="5" t="s">
        <v>60</v>
      </c>
      <c r="D32" s="26" t="s">
        <v>61</v>
      </c>
      <c r="E32" s="31" t="s">
        <v>39</v>
      </c>
      <c r="F32" s="24" t="s">
        <v>2</v>
      </c>
      <c r="G32" s="21" t="s">
        <v>1</v>
      </c>
      <c r="H32" s="31" t="s">
        <v>40</v>
      </c>
      <c r="I32" s="24" t="s">
        <v>2</v>
      </c>
      <c r="J32" s="21" t="s">
        <v>1</v>
      </c>
      <c r="K32" s="31" t="s">
        <v>41</v>
      </c>
      <c r="L32" s="24" t="s">
        <v>2</v>
      </c>
      <c r="M32" s="21" t="s">
        <v>1</v>
      </c>
      <c r="N32" s="31" t="s">
        <v>42</v>
      </c>
      <c r="O32" s="24" t="s">
        <v>2</v>
      </c>
      <c r="P32" s="21" t="s">
        <v>1</v>
      </c>
      <c r="Q32" s="31" t="s">
        <v>43</v>
      </c>
      <c r="R32" s="24" t="s">
        <v>2</v>
      </c>
      <c r="S32" s="21" t="s">
        <v>1</v>
      </c>
      <c r="T32" s="31" t="s">
        <v>44</v>
      </c>
      <c r="U32" s="24" t="s">
        <v>2</v>
      </c>
      <c r="V32" s="21" t="s">
        <v>1</v>
      </c>
      <c r="W32" s="31" t="s">
        <v>45</v>
      </c>
      <c r="X32" s="24" t="s">
        <v>2</v>
      </c>
      <c r="Y32" s="21" t="s">
        <v>1</v>
      </c>
      <c r="Z32" s="31" t="s">
        <v>46</v>
      </c>
      <c r="AA32" s="24" t="s">
        <v>2</v>
      </c>
      <c r="AB32" s="21" t="s">
        <v>1</v>
      </c>
      <c r="AC32" s="31" t="s">
        <v>47</v>
      </c>
      <c r="AD32" s="24" t="s">
        <v>2</v>
      </c>
      <c r="AE32" s="21" t="s">
        <v>1</v>
      </c>
      <c r="AF32" s="31" t="s">
        <v>48</v>
      </c>
      <c r="AG32" s="24" t="s">
        <v>2</v>
      </c>
      <c r="AH32" s="21" t="s">
        <v>1</v>
      </c>
      <c r="AI32" s="31" t="s">
        <v>49</v>
      </c>
      <c r="AJ32" s="24" t="s">
        <v>2</v>
      </c>
      <c r="AK32" s="21" t="s">
        <v>1</v>
      </c>
      <c r="AL32" s="32" t="s">
        <v>50</v>
      </c>
      <c r="AM32" s="20" t="s">
        <v>2</v>
      </c>
      <c r="AN32" s="39" t="s">
        <v>1</v>
      </c>
      <c r="AO32" s="64"/>
      <c r="AR32" s="5"/>
      <c r="AS32" s="5"/>
      <c r="AU32" s="99"/>
      <c r="AV32" s="1"/>
      <c r="AW32" s="33" t="s">
        <v>24</v>
      </c>
      <c r="AX32" s="33" t="s">
        <v>27</v>
      </c>
      <c r="AY32" s="33" t="s">
        <v>28</v>
      </c>
      <c r="AZ32" s="33" t="s">
        <v>29</v>
      </c>
      <c r="BA32" s="33" t="s">
        <v>30</v>
      </c>
      <c r="BB32" s="33" t="s">
        <v>0</v>
      </c>
      <c r="BC32" s="33" t="s">
        <v>31</v>
      </c>
      <c r="BD32" s="33" t="s">
        <v>32</v>
      </c>
      <c r="BE32" s="33" t="s">
        <v>33</v>
      </c>
      <c r="BF32" s="33" t="s">
        <v>34</v>
      </c>
      <c r="BG32" s="33" t="s">
        <v>35</v>
      </c>
      <c r="BH32" s="33" t="s">
        <v>36</v>
      </c>
      <c r="BI32" s="33" t="s">
        <v>37</v>
      </c>
    </row>
    <row r="33" spans="1:62" s="4" customFormat="1" hidden="1" x14ac:dyDescent="0.2">
      <c r="A33" s="2"/>
      <c r="B33" s="4" t="s">
        <v>73</v>
      </c>
      <c r="D33" s="52"/>
      <c r="E33" s="51"/>
      <c r="F33" s="40"/>
      <c r="G33" s="93">
        <f t="shared" ref="G33:G43" si="134">E33-F33</f>
        <v>0</v>
      </c>
      <c r="H33" s="51"/>
      <c r="I33" s="40"/>
      <c r="J33" s="93">
        <f t="shared" ref="J33:J42" si="135">H33-I33</f>
        <v>0</v>
      </c>
      <c r="K33" s="51"/>
      <c r="L33" s="40"/>
      <c r="M33" s="93">
        <f t="shared" ref="M33:M42" si="136">K33-L33</f>
        <v>0</v>
      </c>
      <c r="N33" s="51"/>
      <c r="O33" s="40"/>
      <c r="P33" s="93">
        <f t="shared" ref="P33:P42" si="137">N33-O33</f>
        <v>0</v>
      </c>
      <c r="Q33" s="51"/>
      <c r="R33" s="40"/>
      <c r="S33" s="93">
        <f t="shared" ref="S33:S42" si="138">Q33-R33</f>
        <v>0</v>
      </c>
      <c r="T33" s="51"/>
      <c r="U33" s="40"/>
      <c r="V33" s="93">
        <f t="shared" ref="V33:V42" si="139">T33-U33</f>
        <v>0</v>
      </c>
      <c r="W33" s="51"/>
      <c r="X33" s="40"/>
      <c r="Y33" s="93">
        <f t="shared" ref="Y33:Y42" si="140">W33-X33</f>
        <v>0</v>
      </c>
      <c r="Z33" s="51"/>
      <c r="AA33" s="40"/>
      <c r="AB33" s="93">
        <f t="shared" ref="AB33:AB42" si="141">Z33-AA33</f>
        <v>0</v>
      </c>
      <c r="AC33" s="51"/>
      <c r="AD33" s="40"/>
      <c r="AE33" s="93">
        <f t="shared" ref="AE33:AE42" si="142">AC33-AD33</f>
        <v>0</v>
      </c>
      <c r="AF33" s="51"/>
      <c r="AG33" s="40"/>
      <c r="AH33" s="93">
        <f t="shared" ref="AH33:AH42" si="143">AF33-AG33</f>
        <v>0</v>
      </c>
      <c r="AI33" s="51"/>
      <c r="AJ33" s="40"/>
      <c r="AK33" s="93">
        <f t="shared" ref="AK33:AK42" si="144">AI33-AJ33</f>
        <v>0</v>
      </c>
      <c r="AL33" s="51"/>
      <c r="AM33" s="40"/>
      <c r="AN33" s="93">
        <f t="shared" ref="AN33:AN42" si="145">AL33-AM33</f>
        <v>0</v>
      </c>
      <c r="AO33" s="64"/>
      <c r="AU33" s="1"/>
      <c r="AV33" s="100"/>
      <c r="AW33" s="1">
        <f>D52</f>
        <v>0</v>
      </c>
      <c r="AX33" s="1">
        <f>E52</f>
        <v>0</v>
      </c>
      <c r="AY33" s="1">
        <f>H52</f>
        <v>0</v>
      </c>
      <c r="AZ33" s="1">
        <f>K52</f>
        <v>0</v>
      </c>
      <c r="BA33" s="1">
        <f>N52</f>
        <v>0</v>
      </c>
      <c r="BB33" s="1">
        <f>Q52</f>
        <v>0</v>
      </c>
      <c r="BC33" s="1">
        <f>T52</f>
        <v>0</v>
      </c>
      <c r="BD33" s="1">
        <f>W52</f>
        <v>0</v>
      </c>
      <c r="BE33" s="1">
        <f>Z52</f>
        <v>0</v>
      </c>
      <c r="BF33" s="1">
        <f>AC52</f>
        <v>0</v>
      </c>
      <c r="BG33" s="1">
        <f>AF52</f>
        <v>0</v>
      </c>
      <c r="BH33" s="1">
        <f>AI52</f>
        <v>0</v>
      </c>
      <c r="BI33" s="1">
        <f>AL52</f>
        <v>0</v>
      </c>
      <c r="BJ33" s="4" t="s">
        <v>66</v>
      </c>
    </row>
    <row r="34" spans="1:62" s="4" customFormat="1" hidden="1" x14ac:dyDescent="0.2">
      <c r="A34" s="2"/>
      <c r="B34" s="4" t="s">
        <v>74</v>
      </c>
      <c r="D34" s="41"/>
      <c r="E34" s="55"/>
      <c r="F34" s="41"/>
      <c r="G34" s="93">
        <f t="shared" si="134"/>
        <v>0</v>
      </c>
      <c r="H34" s="55">
        <f>H4*H29</f>
        <v>0</v>
      </c>
      <c r="I34" s="41"/>
      <c r="J34" s="93">
        <f t="shared" si="135"/>
        <v>0</v>
      </c>
      <c r="K34" s="55">
        <f>K4*K29</f>
        <v>0</v>
      </c>
      <c r="L34" s="41"/>
      <c r="M34" s="93">
        <f t="shared" si="136"/>
        <v>0</v>
      </c>
      <c r="N34" s="55">
        <f>N4*N29</f>
        <v>0</v>
      </c>
      <c r="O34" s="41"/>
      <c r="P34" s="93">
        <f t="shared" si="137"/>
        <v>0</v>
      </c>
      <c r="Q34" s="55">
        <f>Q4*Q29</f>
        <v>0</v>
      </c>
      <c r="R34" s="41"/>
      <c r="S34" s="93">
        <f t="shared" si="138"/>
        <v>0</v>
      </c>
      <c r="T34" s="55">
        <f>T4*T29</f>
        <v>0</v>
      </c>
      <c r="U34" s="41"/>
      <c r="V34" s="93">
        <f t="shared" si="139"/>
        <v>0</v>
      </c>
      <c r="W34" s="55">
        <f>W4*W29</f>
        <v>0</v>
      </c>
      <c r="X34" s="41"/>
      <c r="Y34" s="93">
        <f t="shared" si="140"/>
        <v>0</v>
      </c>
      <c r="Z34" s="55">
        <f>Z4*Z29</f>
        <v>0</v>
      </c>
      <c r="AA34" s="41"/>
      <c r="AB34" s="93">
        <f t="shared" si="141"/>
        <v>0</v>
      </c>
      <c r="AC34" s="55">
        <f>AC4*AC29</f>
        <v>0</v>
      </c>
      <c r="AD34" s="41"/>
      <c r="AE34" s="93">
        <f t="shared" si="142"/>
        <v>0</v>
      </c>
      <c r="AF34" s="55">
        <f>AF4*AF29</f>
        <v>0</v>
      </c>
      <c r="AG34" s="41"/>
      <c r="AH34" s="93">
        <f t="shared" si="143"/>
        <v>0</v>
      </c>
      <c r="AI34" s="55">
        <f>AI4*AI29</f>
        <v>0</v>
      </c>
      <c r="AJ34" s="41"/>
      <c r="AK34" s="93">
        <f t="shared" si="144"/>
        <v>0</v>
      </c>
      <c r="AL34" s="55">
        <f>AL4*AL29</f>
        <v>0</v>
      </c>
      <c r="AM34" s="41"/>
      <c r="AN34" s="93">
        <f t="shared" si="145"/>
        <v>0</v>
      </c>
      <c r="AO34" s="64"/>
      <c r="AU34" s="1"/>
      <c r="AV34" s="101"/>
      <c r="AW34" s="1">
        <f>D53</f>
        <v>0</v>
      </c>
      <c r="AX34" s="1">
        <f>E53</f>
        <v>0</v>
      </c>
      <c r="AY34" s="1">
        <f>H53</f>
        <v>0</v>
      </c>
      <c r="AZ34" s="1">
        <f>K53</f>
        <v>0</v>
      </c>
      <c r="BA34" s="1">
        <f>N53</f>
        <v>0</v>
      </c>
      <c r="BB34" s="1">
        <f>Q53</f>
        <v>0</v>
      </c>
      <c r="BC34" s="1">
        <f>T53</f>
        <v>0</v>
      </c>
      <c r="BD34" s="1">
        <f>W53</f>
        <v>0</v>
      </c>
      <c r="BE34" s="1">
        <f>Z53</f>
        <v>0</v>
      </c>
      <c r="BF34" s="1">
        <f>AC53</f>
        <v>0</v>
      </c>
      <c r="BG34" s="1">
        <f>AF53</f>
        <v>0</v>
      </c>
      <c r="BH34" s="1">
        <f>AI53</f>
        <v>0</v>
      </c>
      <c r="BI34" s="1">
        <f>AL53</f>
        <v>0</v>
      </c>
      <c r="BJ34" s="4" t="s">
        <v>67</v>
      </c>
    </row>
    <row r="35" spans="1:62" s="4" customFormat="1" hidden="1" x14ac:dyDescent="0.2">
      <c r="A35" s="2"/>
      <c r="B35" s="1" t="s">
        <v>75</v>
      </c>
      <c r="C35" s="1"/>
      <c r="D35" s="42"/>
      <c r="E35" s="56">
        <f>E26</f>
        <v>0</v>
      </c>
      <c r="F35" s="42"/>
      <c r="G35" s="93">
        <f t="shared" si="134"/>
        <v>0</v>
      </c>
      <c r="H35" s="56">
        <f>H26</f>
        <v>0</v>
      </c>
      <c r="I35" s="42"/>
      <c r="J35" s="93">
        <f t="shared" si="135"/>
        <v>0</v>
      </c>
      <c r="K35" s="56">
        <f>K26</f>
        <v>0</v>
      </c>
      <c r="L35" s="42"/>
      <c r="M35" s="93">
        <f t="shared" si="136"/>
        <v>0</v>
      </c>
      <c r="N35" s="56">
        <f>N26</f>
        <v>0</v>
      </c>
      <c r="O35" s="42"/>
      <c r="P35" s="93">
        <f t="shared" si="137"/>
        <v>0</v>
      </c>
      <c r="Q35" s="56">
        <f>Q26</f>
        <v>0</v>
      </c>
      <c r="R35" s="42"/>
      <c r="S35" s="93">
        <f t="shared" si="138"/>
        <v>0</v>
      </c>
      <c r="T35" s="56">
        <f>T26</f>
        <v>0</v>
      </c>
      <c r="U35" s="42"/>
      <c r="V35" s="93">
        <f t="shared" si="139"/>
        <v>0</v>
      </c>
      <c r="W35" s="56">
        <f>W26</f>
        <v>0</v>
      </c>
      <c r="X35" s="42"/>
      <c r="Y35" s="93">
        <f t="shared" si="140"/>
        <v>0</v>
      </c>
      <c r="Z35" s="56">
        <f>Z26</f>
        <v>0</v>
      </c>
      <c r="AA35" s="42"/>
      <c r="AB35" s="93">
        <f t="shared" si="141"/>
        <v>0</v>
      </c>
      <c r="AC35" s="56">
        <f>AC26</f>
        <v>0</v>
      </c>
      <c r="AD35" s="42"/>
      <c r="AE35" s="93">
        <f t="shared" si="142"/>
        <v>0</v>
      </c>
      <c r="AF35" s="56">
        <f>AF26</f>
        <v>0</v>
      </c>
      <c r="AG35" s="42"/>
      <c r="AH35" s="93">
        <f t="shared" si="143"/>
        <v>0</v>
      </c>
      <c r="AI35" s="56">
        <f>AI26</f>
        <v>0</v>
      </c>
      <c r="AJ35" s="42"/>
      <c r="AK35" s="93">
        <f t="shared" si="144"/>
        <v>0</v>
      </c>
      <c r="AL35" s="56">
        <f>AL26</f>
        <v>0</v>
      </c>
      <c r="AM35" s="42"/>
      <c r="AN35" s="93">
        <f t="shared" si="145"/>
        <v>0</v>
      </c>
      <c r="AO35" s="53"/>
      <c r="AP35" s="1"/>
      <c r="AQ35" s="1"/>
      <c r="AU35" s="1"/>
    </row>
    <row r="36" spans="1:62" s="5" customFormat="1" hidden="1" x14ac:dyDescent="0.2">
      <c r="A36" s="2"/>
      <c r="B36" s="3" t="s">
        <v>76</v>
      </c>
      <c r="C36" s="3"/>
      <c r="D36" s="53">
        <f t="shared" ref="D36:AN36" si="146">SUM(D33:D35)</f>
        <v>0</v>
      </c>
      <c r="E36" s="57">
        <f t="shared" si="146"/>
        <v>0</v>
      </c>
      <c r="F36" s="3">
        <f t="shared" si="146"/>
        <v>0</v>
      </c>
      <c r="G36" s="94">
        <f t="shared" si="146"/>
        <v>0</v>
      </c>
      <c r="H36" s="57">
        <f t="shared" si="146"/>
        <v>0</v>
      </c>
      <c r="I36" s="3">
        <f t="shared" si="146"/>
        <v>0</v>
      </c>
      <c r="J36" s="94">
        <f t="shared" si="146"/>
        <v>0</v>
      </c>
      <c r="K36" s="57">
        <f t="shared" si="146"/>
        <v>0</v>
      </c>
      <c r="L36" s="3">
        <f t="shared" si="146"/>
        <v>0</v>
      </c>
      <c r="M36" s="94">
        <f t="shared" si="146"/>
        <v>0</v>
      </c>
      <c r="N36" s="57">
        <f t="shared" si="146"/>
        <v>0</v>
      </c>
      <c r="O36" s="3">
        <f t="shared" si="146"/>
        <v>0</v>
      </c>
      <c r="P36" s="94">
        <f t="shared" si="146"/>
        <v>0</v>
      </c>
      <c r="Q36" s="57">
        <f t="shared" si="146"/>
        <v>0</v>
      </c>
      <c r="R36" s="3">
        <f t="shared" si="146"/>
        <v>0</v>
      </c>
      <c r="S36" s="94">
        <f t="shared" si="146"/>
        <v>0</v>
      </c>
      <c r="T36" s="57">
        <f t="shared" si="146"/>
        <v>0</v>
      </c>
      <c r="U36" s="3">
        <f t="shared" si="146"/>
        <v>0</v>
      </c>
      <c r="V36" s="94">
        <f t="shared" si="146"/>
        <v>0</v>
      </c>
      <c r="W36" s="57">
        <f t="shared" si="146"/>
        <v>0</v>
      </c>
      <c r="X36" s="3">
        <f t="shared" si="146"/>
        <v>0</v>
      </c>
      <c r="Y36" s="94">
        <f t="shared" si="146"/>
        <v>0</v>
      </c>
      <c r="Z36" s="57">
        <f t="shared" si="146"/>
        <v>0</v>
      </c>
      <c r="AA36" s="3">
        <f t="shared" si="146"/>
        <v>0</v>
      </c>
      <c r="AB36" s="94">
        <f t="shared" si="146"/>
        <v>0</v>
      </c>
      <c r="AC36" s="57">
        <f t="shared" si="146"/>
        <v>0</v>
      </c>
      <c r="AD36" s="3">
        <f t="shared" si="146"/>
        <v>0</v>
      </c>
      <c r="AE36" s="94">
        <f t="shared" si="146"/>
        <v>0</v>
      </c>
      <c r="AF36" s="57">
        <f t="shared" si="146"/>
        <v>0</v>
      </c>
      <c r="AG36" s="3">
        <f t="shared" si="146"/>
        <v>0</v>
      </c>
      <c r="AH36" s="94">
        <f t="shared" si="146"/>
        <v>0</v>
      </c>
      <c r="AI36" s="57">
        <f t="shared" si="146"/>
        <v>0</v>
      </c>
      <c r="AJ36" s="3">
        <f>SUM(AJ33:AJ35)</f>
        <v>0</v>
      </c>
      <c r="AK36" s="94">
        <f t="shared" si="146"/>
        <v>0</v>
      </c>
      <c r="AL36" s="57">
        <f t="shared" si="146"/>
        <v>0</v>
      </c>
      <c r="AM36" s="3">
        <f t="shared" si="146"/>
        <v>0</v>
      </c>
      <c r="AN36" s="94">
        <f t="shared" si="146"/>
        <v>0</v>
      </c>
      <c r="AO36" s="53"/>
      <c r="AP36" s="3"/>
      <c r="AQ36" s="3"/>
      <c r="AU36" s="3"/>
    </row>
    <row r="37" spans="1:62" s="4" customFormat="1" hidden="1" x14ac:dyDescent="0.2">
      <c r="A37" s="2"/>
      <c r="B37" s="1" t="s">
        <v>77</v>
      </c>
      <c r="C37" s="1"/>
      <c r="D37" s="54"/>
      <c r="E37" s="63">
        <f>E15+E19+D37</f>
        <v>0</v>
      </c>
      <c r="F37" s="42"/>
      <c r="G37" s="93">
        <f t="shared" si="134"/>
        <v>0</v>
      </c>
      <c r="H37" s="63">
        <f>E37-H15-H19</f>
        <v>0</v>
      </c>
      <c r="I37" s="42"/>
      <c r="J37" s="93">
        <f t="shared" si="135"/>
        <v>0</v>
      </c>
      <c r="K37" s="63">
        <f>H37-K15-K19</f>
        <v>0</v>
      </c>
      <c r="L37" s="42"/>
      <c r="M37" s="93">
        <f t="shared" si="136"/>
        <v>0</v>
      </c>
      <c r="N37" s="63">
        <f>K37-N15-N19</f>
        <v>0</v>
      </c>
      <c r="O37" s="42"/>
      <c r="P37" s="93">
        <f t="shared" si="137"/>
        <v>0</v>
      </c>
      <c r="Q37" s="63">
        <f>N37-Q15-Q19</f>
        <v>0</v>
      </c>
      <c r="R37" s="42"/>
      <c r="S37" s="93">
        <f t="shared" si="138"/>
        <v>0</v>
      </c>
      <c r="T37" s="63">
        <f>Q37-T15-T19</f>
        <v>0</v>
      </c>
      <c r="U37" s="42"/>
      <c r="V37" s="93">
        <f t="shared" si="139"/>
        <v>0</v>
      </c>
      <c r="W37" s="63">
        <f>T37-W15-W19</f>
        <v>0</v>
      </c>
      <c r="X37" s="42"/>
      <c r="Y37" s="93">
        <f t="shared" si="140"/>
        <v>0</v>
      </c>
      <c r="Z37" s="63">
        <f>W37-Z15-Z19</f>
        <v>0</v>
      </c>
      <c r="AA37" s="42"/>
      <c r="AB37" s="93">
        <f t="shared" si="141"/>
        <v>0</v>
      </c>
      <c r="AC37" s="63">
        <f>Z37-AC15-AC19</f>
        <v>0</v>
      </c>
      <c r="AD37" s="42"/>
      <c r="AE37" s="93">
        <f t="shared" si="142"/>
        <v>0</v>
      </c>
      <c r="AF37" s="63">
        <f>AC37-AF15-AF19</f>
        <v>0</v>
      </c>
      <c r="AG37" s="42"/>
      <c r="AH37" s="93">
        <f t="shared" si="143"/>
        <v>0</v>
      </c>
      <c r="AI37" s="63">
        <f>AF37-AI15-AI19</f>
        <v>0</v>
      </c>
      <c r="AJ37" s="42"/>
      <c r="AK37" s="93">
        <f t="shared" si="144"/>
        <v>0</v>
      </c>
      <c r="AL37" s="63">
        <f>AI37-AL15-AL19</f>
        <v>0</v>
      </c>
      <c r="AM37" s="42"/>
      <c r="AN37" s="93">
        <f t="shared" si="145"/>
        <v>0</v>
      </c>
      <c r="AO37" s="53"/>
      <c r="AP37" s="1"/>
      <c r="AQ37" s="1"/>
      <c r="AU37" s="1"/>
    </row>
    <row r="38" spans="1:62" s="4" customFormat="1" hidden="1" x14ac:dyDescent="0.2">
      <c r="A38" s="2"/>
      <c r="B38" s="1" t="s">
        <v>106</v>
      </c>
      <c r="C38" s="1"/>
      <c r="D38" s="54"/>
      <c r="E38" s="61"/>
      <c r="F38" s="95"/>
      <c r="G38" s="96">
        <f t="shared" si="134"/>
        <v>0</v>
      </c>
      <c r="H38" s="97"/>
      <c r="I38" s="95"/>
      <c r="J38" s="96">
        <f t="shared" si="135"/>
        <v>0</v>
      </c>
      <c r="K38" s="97"/>
      <c r="L38" s="95"/>
      <c r="M38" s="96">
        <f t="shared" si="136"/>
        <v>0</v>
      </c>
      <c r="N38" s="97"/>
      <c r="O38" s="95"/>
      <c r="P38" s="96">
        <f t="shared" si="137"/>
        <v>0</v>
      </c>
      <c r="Q38" s="97"/>
      <c r="R38" s="95"/>
      <c r="S38" s="96">
        <f t="shared" si="138"/>
        <v>0</v>
      </c>
      <c r="T38" s="97"/>
      <c r="U38" s="95"/>
      <c r="V38" s="96">
        <f t="shared" si="139"/>
        <v>0</v>
      </c>
      <c r="W38" s="97"/>
      <c r="X38" s="95"/>
      <c r="Y38" s="96">
        <f t="shared" si="140"/>
        <v>0</v>
      </c>
      <c r="Z38" s="97"/>
      <c r="AA38" s="95"/>
      <c r="AB38" s="93">
        <f t="shared" si="141"/>
        <v>0</v>
      </c>
      <c r="AC38" s="61"/>
      <c r="AD38" s="95"/>
      <c r="AE38" s="93">
        <f t="shared" si="142"/>
        <v>0</v>
      </c>
      <c r="AF38" s="61"/>
      <c r="AG38" s="95"/>
      <c r="AH38" s="93">
        <f t="shared" si="143"/>
        <v>0</v>
      </c>
      <c r="AI38" s="61"/>
      <c r="AJ38" s="42"/>
      <c r="AK38" s="93">
        <f t="shared" si="144"/>
        <v>0</v>
      </c>
      <c r="AL38" s="61"/>
      <c r="AM38" s="42"/>
      <c r="AN38" s="93">
        <f t="shared" si="145"/>
        <v>0</v>
      </c>
      <c r="AO38" s="53"/>
      <c r="AP38" s="1"/>
      <c r="AQ38" s="1"/>
      <c r="AU38" s="1"/>
    </row>
    <row r="39" spans="1:62" s="4" customFormat="1" hidden="1" x14ac:dyDescent="0.2">
      <c r="A39" s="2"/>
      <c r="B39" s="1" t="s">
        <v>78</v>
      </c>
      <c r="C39" s="1"/>
      <c r="D39" s="42"/>
      <c r="E39" s="61"/>
      <c r="F39" s="42"/>
      <c r="G39" s="93">
        <f t="shared" si="134"/>
        <v>0</v>
      </c>
      <c r="H39" s="61"/>
      <c r="I39" s="42"/>
      <c r="J39" s="93">
        <f t="shared" si="135"/>
        <v>0</v>
      </c>
      <c r="K39" s="61"/>
      <c r="L39" s="42"/>
      <c r="M39" s="93">
        <f t="shared" si="136"/>
        <v>0</v>
      </c>
      <c r="N39" s="61"/>
      <c r="O39" s="42"/>
      <c r="P39" s="93">
        <f t="shared" si="137"/>
        <v>0</v>
      </c>
      <c r="Q39" s="61"/>
      <c r="R39" s="42"/>
      <c r="S39" s="93">
        <f t="shared" si="138"/>
        <v>0</v>
      </c>
      <c r="T39" s="61"/>
      <c r="U39" s="42"/>
      <c r="V39" s="93">
        <f t="shared" si="139"/>
        <v>0</v>
      </c>
      <c r="W39" s="61"/>
      <c r="X39" s="42"/>
      <c r="Y39" s="93">
        <f t="shared" si="140"/>
        <v>0</v>
      </c>
      <c r="Z39" s="61"/>
      <c r="AA39" s="42"/>
      <c r="AB39" s="93">
        <f t="shared" si="141"/>
        <v>0</v>
      </c>
      <c r="AC39" s="61"/>
      <c r="AD39" s="42"/>
      <c r="AE39" s="93">
        <f t="shared" si="142"/>
        <v>0</v>
      </c>
      <c r="AF39" s="61"/>
      <c r="AG39" s="42"/>
      <c r="AH39" s="93">
        <f t="shared" si="143"/>
        <v>0</v>
      </c>
      <c r="AI39" s="61"/>
      <c r="AJ39" s="42"/>
      <c r="AK39" s="93">
        <f t="shared" si="144"/>
        <v>0</v>
      </c>
      <c r="AL39" s="61"/>
      <c r="AM39" s="42"/>
      <c r="AN39" s="93">
        <f t="shared" si="145"/>
        <v>0</v>
      </c>
      <c r="AO39" s="53"/>
      <c r="AP39" s="1"/>
      <c r="AQ39" s="1"/>
      <c r="AU39" s="1"/>
      <c r="AW39" s="1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</row>
    <row r="40" spans="1:62" s="4" customFormat="1" hidden="1" x14ac:dyDescent="0.2">
      <c r="A40" s="2"/>
      <c r="B40" s="4" t="s">
        <v>79</v>
      </c>
      <c r="C40" s="1"/>
      <c r="D40" s="42"/>
      <c r="E40" s="61"/>
      <c r="F40" s="42"/>
      <c r="G40" s="93">
        <f t="shared" si="134"/>
        <v>0</v>
      </c>
      <c r="H40" s="61">
        <f>SUM(H9:H13)*H30</f>
        <v>0</v>
      </c>
      <c r="I40" s="42"/>
      <c r="J40" s="93">
        <f t="shared" si="135"/>
        <v>0</v>
      </c>
      <c r="K40" s="61">
        <f>SUM(K9:K13)*K30</f>
        <v>0</v>
      </c>
      <c r="L40" s="42"/>
      <c r="M40" s="93">
        <f t="shared" si="136"/>
        <v>0</v>
      </c>
      <c r="N40" s="61"/>
      <c r="O40" s="42"/>
      <c r="P40" s="93">
        <f t="shared" si="137"/>
        <v>0</v>
      </c>
      <c r="Q40" s="61"/>
      <c r="R40" s="42"/>
      <c r="S40" s="93">
        <f t="shared" si="138"/>
        <v>0</v>
      </c>
      <c r="T40" s="61"/>
      <c r="U40" s="42"/>
      <c r="V40" s="93">
        <f t="shared" si="139"/>
        <v>0</v>
      </c>
      <c r="W40" s="61"/>
      <c r="X40" s="42"/>
      <c r="Y40" s="93">
        <f t="shared" si="140"/>
        <v>0</v>
      </c>
      <c r="Z40" s="61"/>
      <c r="AA40" s="42"/>
      <c r="AB40" s="93">
        <f t="shared" si="141"/>
        <v>0</v>
      </c>
      <c r="AC40" s="61"/>
      <c r="AD40" s="42"/>
      <c r="AE40" s="93">
        <f t="shared" si="142"/>
        <v>0</v>
      </c>
      <c r="AF40" s="61"/>
      <c r="AG40" s="42"/>
      <c r="AH40" s="93">
        <f t="shared" si="143"/>
        <v>0</v>
      </c>
      <c r="AI40" s="61">
        <f>SUM(AI9:AI13)*AI30</f>
        <v>0</v>
      </c>
      <c r="AJ40" s="42"/>
      <c r="AK40" s="93">
        <f t="shared" si="144"/>
        <v>0</v>
      </c>
      <c r="AL40" s="61">
        <f>SUM(AL9:AL13)*AL30</f>
        <v>0</v>
      </c>
      <c r="AM40" s="42"/>
      <c r="AN40" s="93">
        <f t="shared" si="145"/>
        <v>0</v>
      </c>
      <c r="AO40" s="53"/>
      <c r="AP40" s="1"/>
      <c r="AQ40" s="1"/>
      <c r="AU40" s="1"/>
      <c r="AW40" s="1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</row>
    <row r="41" spans="1:62" s="4" customFormat="1" hidden="1" x14ac:dyDescent="0.2">
      <c r="A41" s="2"/>
      <c r="B41" s="4" t="s">
        <v>80</v>
      </c>
      <c r="C41" s="1"/>
      <c r="D41" s="54"/>
      <c r="E41" s="61"/>
      <c r="F41" s="42"/>
      <c r="G41" s="93">
        <f t="shared" si="134"/>
        <v>0</v>
      </c>
      <c r="H41" s="61">
        <f>H48</f>
        <v>0</v>
      </c>
      <c r="I41" s="42"/>
      <c r="J41" s="93">
        <f t="shared" si="135"/>
        <v>0</v>
      </c>
      <c r="K41" s="61">
        <f>K48</f>
        <v>0</v>
      </c>
      <c r="L41" s="42"/>
      <c r="M41" s="93">
        <f t="shared" si="136"/>
        <v>0</v>
      </c>
      <c r="N41" s="61"/>
      <c r="O41" s="42"/>
      <c r="P41" s="93">
        <f t="shared" si="137"/>
        <v>0</v>
      </c>
      <c r="Q41" s="61"/>
      <c r="R41" s="42"/>
      <c r="S41" s="93">
        <f t="shared" si="138"/>
        <v>0</v>
      </c>
      <c r="T41" s="61"/>
      <c r="U41" s="42"/>
      <c r="V41" s="93">
        <f t="shared" si="139"/>
        <v>0</v>
      </c>
      <c r="W41" s="61"/>
      <c r="X41" s="42"/>
      <c r="Y41" s="93">
        <f t="shared" si="140"/>
        <v>0</v>
      </c>
      <c r="Z41" s="61"/>
      <c r="AA41" s="42"/>
      <c r="AB41" s="93">
        <f t="shared" si="141"/>
        <v>0</v>
      </c>
      <c r="AC41" s="61"/>
      <c r="AD41" s="42"/>
      <c r="AE41" s="93">
        <f t="shared" si="142"/>
        <v>0</v>
      </c>
      <c r="AF41" s="61"/>
      <c r="AG41" s="42"/>
      <c r="AH41" s="93">
        <f t="shared" si="143"/>
        <v>0</v>
      </c>
      <c r="AI41" s="61">
        <f>AI48</f>
        <v>0</v>
      </c>
      <c r="AJ41" s="42"/>
      <c r="AK41" s="93">
        <f t="shared" si="144"/>
        <v>0</v>
      </c>
      <c r="AL41" s="61">
        <f>AL48</f>
        <v>0</v>
      </c>
      <c r="AM41" s="42"/>
      <c r="AN41" s="93">
        <f t="shared" si="145"/>
        <v>0</v>
      </c>
      <c r="AO41" s="53"/>
      <c r="AP41" s="1"/>
      <c r="AQ41" s="1"/>
      <c r="AU41" s="1"/>
      <c r="AW41" s="1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</row>
    <row r="42" spans="1:62" s="4" customFormat="1" hidden="1" x14ac:dyDescent="0.2">
      <c r="A42" s="2"/>
      <c r="B42" s="4" t="s">
        <v>81</v>
      </c>
      <c r="C42" s="1"/>
      <c r="D42" s="54"/>
      <c r="E42" s="61"/>
      <c r="F42" s="42"/>
      <c r="G42" s="93">
        <f t="shared" si="134"/>
        <v>0</v>
      </c>
      <c r="H42" s="61"/>
      <c r="I42" s="42"/>
      <c r="J42" s="93">
        <f t="shared" si="135"/>
        <v>0</v>
      </c>
      <c r="K42" s="61"/>
      <c r="L42" s="42"/>
      <c r="M42" s="93">
        <f t="shared" si="136"/>
        <v>0</v>
      </c>
      <c r="N42" s="61"/>
      <c r="O42" s="42"/>
      <c r="P42" s="93">
        <f t="shared" si="137"/>
        <v>0</v>
      </c>
      <c r="Q42" s="61"/>
      <c r="R42" s="42"/>
      <c r="S42" s="93">
        <f t="shared" si="138"/>
        <v>0</v>
      </c>
      <c r="T42" s="61"/>
      <c r="U42" s="42"/>
      <c r="V42" s="93">
        <f t="shared" si="139"/>
        <v>0</v>
      </c>
      <c r="W42" s="61"/>
      <c r="X42" s="42"/>
      <c r="Y42" s="93">
        <f t="shared" si="140"/>
        <v>0</v>
      </c>
      <c r="Z42" s="61"/>
      <c r="AA42" s="42"/>
      <c r="AB42" s="93">
        <f t="shared" si="141"/>
        <v>0</v>
      </c>
      <c r="AC42" s="61"/>
      <c r="AD42" s="42"/>
      <c r="AE42" s="93">
        <f t="shared" si="142"/>
        <v>0</v>
      </c>
      <c r="AF42" s="61"/>
      <c r="AG42" s="42"/>
      <c r="AH42" s="93">
        <f t="shared" si="143"/>
        <v>0</v>
      </c>
      <c r="AI42" s="61"/>
      <c r="AJ42" s="42"/>
      <c r="AK42" s="93">
        <f t="shared" si="144"/>
        <v>0</v>
      </c>
      <c r="AL42" s="61"/>
      <c r="AM42" s="42"/>
      <c r="AN42" s="93">
        <f t="shared" si="145"/>
        <v>0</v>
      </c>
      <c r="AO42" s="53"/>
      <c r="AP42" s="1"/>
      <c r="AQ42" s="1"/>
      <c r="AU42" s="1"/>
      <c r="AW42" s="1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</row>
    <row r="43" spans="1:62" s="5" customFormat="1" hidden="1" x14ac:dyDescent="0.2">
      <c r="A43" s="9"/>
      <c r="B43" s="5" t="s">
        <v>82</v>
      </c>
      <c r="C43" s="3"/>
      <c r="D43" s="60">
        <f>SUM(D37:D42)</f>
        <v>0</v>
      </c>
      <c r="E43" s="58">
        <f>SUM(E37:E42)-E38</f>
        <v>0</v>
      </c>
      <c r="F43" s="59">
        <f>SUM(F37:F42)-F38</f>
        <v>0</v>
      </c>
      <c r="G43" s="60">
        <f t="shared" si="134"/>
        <v>0</v>
      </c>
      <c r="H43" s="58">
        <f>SUM(H37:H42)-H38</f>
        <v>0</v>
      </c>
      <c r="I43" s="59">
        <f>SUM(I37:I42)-I38</f>
        <v>0</v>
      </c>
      <c r="J43" s="60"/>
      <c r="K43" s="58">
        <f>SUM(K37:K42)-K38</f>
        <v>0</v>
      </c>
      <c r="L43" s="59">
        <f>SUM(L37:L42)-L38</f>
        <v>0</v>
      </c>
      <c r="M43" s="60"/>
      <c r="N43" s="58">
        <f>SUM(N37:N42)-N38</f>
        <v>0</v>
      </c>
      <c r="O43" s="59">
        <f>SUM(O37:O42)-O38</f>
        <v>0</v>
      </c>
      <c r="P43" s="60"/>
      <c r="Q43" s="58">
        <f>SUM(Q37:Q42)-Q38</f>
        <v>0</v>
      </c>
      <c r="R43" s="59">
        <f>SUM(R37:R42)-R38</f>
        <v>0</v>
      </c>
      <c r="S43" s="60"/>
      <c r="T43" s="58">
        <f>SUM(T37:T42)-T38</f>
        <v>0</v>
      </c>
      <c r="U43" s="59">
        <f>SUM(U37:U42)-U38</f>
        <v>0</v>
      </c>
      <c r="V43" s="60"/>
      <c r="W43" s="58">
        <f>SUM(W37:W42)-W38</f>
        <v>0</v>
      </c>
      <c r="X43" s="59">
        <f>SUM(X37:X42)-X38</f>
        <v>0</v>
      </c>
      <c r="Y43" s="60"/>
      <c r="Z43" s="58">
        <f>SUM(Z37:Z42)-Z38</f>
        <v>0</v>
      </c>
      <c r="AA43" s="59">
        <f>SUM(AA37:AA42)-AA38</f>
        <v>0</v>
      </c>
      <c r="AB43" s="60"/>
      <c r="AC43" s="58">
        <f>SUM(AC37:AC42)-AC38</f>
        <v>0</v>
      </c>
      <c r="AD43" s="59">
        <f>SUM(AD37:AD42)-AD38</f>
        <v>0</v>
      </c>
      <c r="AE43" s="60"/>
      <c r="AF43" s="58">
        <f>SUM(AF37:AF42)-AF38</f>
        <v>0</v>
      </c>
      <c r="AG43" s="59">
        <f>SUM(AG37:AG42)-AG38</f>
        <v>0</v>
      </c>
      <c r="AH43" s="60"/>
      <c r="AI43" s="58">
        <f>SUM(AI37:AI42)-AI38</f>
        <v>0</v>
      </c>
      <c r="AJ43" s="59">
        <f>SUM(AJ37:AJ42)-AJ38</f>
        <v>0</v>
      </c>
      <c r="AK43" s="60"/>
      <c r="AL43" s="58">
        <f>SUM(AL37:AL42)-AL38</f>
        <v>0</v>
      </c>
      <c r="AM43" s="59">
        <f>SUM(AM37:AM42)-AM38</f>
        <v>0</v>
      </c>
      <c r="AN43" s="60">
        <f>SUM(AN40:AN42)</f>
        <v>0</v>
      </c>
      <c r="AO43" s="53"/>
      <c r="AP43" s="3"/>
      <c r="AQ43" s="3"/>
      <c r="AU43" s="3"/>
      <c r="AW43" s="3"/>
      <c r="AX43" s="49"/>
      <c r="AY43" s="49"/>
      <c r="AZ43" s="49"/>
      <c r="BA43" s="49"/>
      <c r="BB43" s="49"/>
      <c r="BC43" s="49"/>
      <c r="BD43" s="49"/>
      <c r="BE43" s="49"/>
      <c r="BF43" s="49"/>
      <c r="BG43" s="49"/>
      <c r="BH43" s="49"/>
      <c r="BI43" s="49"/>
    </row>
    <row r="44" spans="1:62" hidden="1" x14ac:dyDescent="0.2">
      <c r="B44" s="2" t="s">
        <v>4</v>
      </c>
      <c r="F44" s="50">
        <f>(F36+F43)*-1</f>
        <v>0</v>
      </c>
      <c r="G44" s="50"/>
      <c r="H44" s="50"/>
      <c r="I44" s="50">
        <f>(I36+I43)*-1</f>
        <v>0</v>
      </c>
      <c r="J44" s="50"/>
      <c r="K44" s="50"/>
      <c r="L44" s="50">
        <f>(L36+L43)*-1</f>
        <v>0</v>
      </c>
      <c r="M44" s="50"/>
      <c r="N44" s="50"/>
      <c r="O44" s="50">
        <f>(O36+O43)*-1</f>
        <v>0</v>
      </c>
      <c r="P44" s="50"/>
      <c r="Q44" s="50"/>
      <c r="R44" s="50">
        <f>(R36+R43)*-1</f>
        <v>0</v>
      </c>
      <c r="S44" s="50"/>
      <c r="T44" s="50"/>
      <c r="U44" s="50">
        <f>(U36+U43)*-1</f>
        <v>0</v>
      </c>
      <c r="V44" s="50"/>
      <c r="W44" s="50"/>
      <c r="X44" s="50">
        <f>(X36+X43)*-1</f>
        <v>0</v>
      </c>
      <c r="Y44" s="50"/>
      <c r="Z44" s="50"/>
      <c r="AA44" s="50">
        <f>(AA36+AA43)*-1</f>
        <v>0</v>
      </c>
      <c r="AB44" s="50"/>
      <c r="AC44" s="50"/>
      <c r="AD44" s="50">
        <f>(AD36+AD43)*-1</f>
        <v>0</v>
      </c>
      <c r="AE44" s="50"/>
      <c r="AF44" s="50"/>
      <c r="AG44" s="50">
        <f>(AG36+AG43)*-1</f>
        <v>0</v>
      </c>
      <c r="AH44" s="50"/>
      <c r="AI44" s="50"/>
      <c r="AJ44" s="50">
        <f>(AJ36+AJ43)*-1</f>
        <v>0</v>
      </c>
      <c r="AK44" s="50"/>
      <c r="AL44" s="50"/>
      <c r="AM44" s="50">
        <f>(AM36+AM43)*-1</f>
        <v>0</v>
      </c>
    </row>
    <row r="45" spans="1:62" hidden="1" x14ac:dyDescent="0.2">
      <c r="B45" s="9" t="s">
        <v>68</v>
      </c>
      <c r="C45" s="1" t="s">
        <v>51</v>
      </c>
      <c r="E45" s="30">
        <f>SUMIF($D4:$D25,"Moms",E4:E25)</f>
        <v>0</v>
      </c>
      <c r="H45" s="30">
        <f>SUMIF($D4:$D25,"Moms",H4:H25)</f>
        <v>0</v>
      </c>
      <c r="K45" s="30">
        <f>SUMIF($D4:$D25,"Moms",K4:K25)</f>
        <v>0</v>
      </c>
      <c r="N45" s="30">
        <f>SUMIF($D4:$D25,"Moms",N4:N25)</f>
        <v>0</v>
      </c>
      <c r="Q45" s="30">
        <f>SUMIF($D4:$D25,"Moms",Q4:Q25)</f>
        <v>0</v>
      </c>
      <c r="T45" s="30">
        <f>SUMIF($D4:$D25,"Moms",T4:T25)</f>
        <v>0</v>
      </c>
      <c r="W45" s="30">
        <f>SUMIF($D4:$D25,"Moms",W4:W25)</f>
        <v>0</v>
      </c>
      <c r="Z45" s="30">
        <f>SUMIF($D4:$D25,"Moms",Z4:Z25)</f>
        <v>0</v>
      </c>
      <c r="AC45" s="30">
        <f>SUMIF($D4:$D25,"Moms",AC4:AC25)</f>
        <v>0</v>
      </c>
      <c r="AF45" s="30">
        <f>SUMIF($D4:$D25,"Moms",AF4:AF25)</f>
        <v>0</v>
      </c>
      <c r="AI45" s="30">
        <f>SUMIF($D4:$D25,"Moms",AI4:AI25)</f>
        <v>0</v>
      </c>
      <c r="AL45" s="30">
        <f>SUMIF($D4:$D25,"Moms",AL4:AL25)</f>
        <v>0</v>
      </c>
    </row>
    <row r="46" spans="1:62" hidden="1" x14ac:dyDescent="0.2">
      <c r="C46" s="1" t="s">
        <v>52</v>
      </c>
      <c r="E46" s="1">
        <f>E45*0.25</f>
        <v>0</v>
      </c>
      <c r="H46" s="1">
        <f>H45*0.25</f>
        <v>0</v>
      </c>
      <c r="K46" s="1">
        <f>K45*0.25</f>
        <v>0</v>
      </c>
      <c r="N46" s="1">
        <f>N45*0.25</f>
        <v>0</v>
      </c>
      <c r="Q46" s="1">
        <f>Q45*0.25</f>
        <v>0</v>
      </c>
      <c r="T46" s="1">
        <f>T45*0.25</f>
        <v>0</v>
      </c>
      <c r="W46" s="1">
        <f>W45*0.25</f>
        <v>0</v>
      </c>
      <c r="Z46" s="1">
        <f>Z45*0.25</f>
        <v>0</v>
      </c>
      <c r="AC46" s="1">
        <f>AC45*0.25</f>
        <v>0</v>
      </c>
      <c r="AF46" s="1">
        <f>AF45*0.25</f>
        <v>0</v>
      </c>
      <c r="AI46" s="1">
        <f>AI45*0.25</f>
        <v>0</v>
      </c>
      <c r="AL46" s="1">
        <f>AL45*0.25</f>
        <v>0</v>
      </c>
      <c r="AO46" s="3" t="s">
        <v>53</v>
      </c>
    </row>
    <row r="47" spans="1:62" hidden="1" x14ac:dyDescent="0.2">
      <c r="C47" s="1" t="s">
        <v>63</v>
      </c>
      <c r="J47" s="33" t="s">
        <v>58</v>
      </c>
      <c r="K47" s="38">
        <f>D48</f>
        <v>0</v>
      </c>
      <c r="S47" s="33" t="s">
        <v>57</v>
      </c>
      <c r="T47" s="38">
        <f>SUM(E46:K46)*-1</f>
        <v>0</v>
      </c>
      <c r="AB47" s="33" t="s">
        <v>54</v>
      </c>
      <c r="AC47" s="38">
        <f>SUM(N46:T46)*-1</f>
        <v>0</v>
      </c>
      <c r="AK47" s="33" t="s">
        <v>55</v>
      </c>
      <c r="AL47" s="38">
        <f>SUM(W46:AC46)*-1</f>
        <v>0</v>
      </c>
      <c r="AN47" s="1" t="s">
        <v>56</v>
      </c>
      <c r="AO47" s="38">
        <f>SUM(AF46:AL46)*-1</f>
        <v>0</v>
      </c>
    </row>
    <row r="48" spans="1:62" hidden="1" x14ac:dyDescent="0.2">
      <c r="C48" s="1" t="s">
        <v>62</v>
      </c>
      <c r="D48" s="1">
        <f>D41</f>
        <v>0</v>
      </c>
      <c r="E48" s="1">
        <f>D48-E46</f>
        <v>0</v>
      </c>
      <c r="H48" s="1">
        <f>E48-H46</f>
        <v>0</v>
      </c>
      <c r="K48" s="1">
        <f>H48-K46-K47</f>
        <v>0</v>
      </c>
      <c r="N48" s="1">
        <f>K48-N46-N47</f>
        <v>0</v>
      </c>
      <c r="Q48" s="1">
        <f>N48-Q46-Q47</f>
        <v>0</v>
      </c>
      <c r="T48" s="1">
        <f>Q48-T46-T47</f>
        <v>0</v>
      </c>
      <c r="W48" s="1">
        <f>T48-W46-W47</f>
        <v>0</v>
      </c>
      <c r="Z48" s="1">
        <f>W48-Z46-Z47</f>
        <v>0</v>
      </c>
      <c r="AC48" s="1">
        <f>Z48-AC46-AC47</f>
        <v>0</v>
      </c>
      <c r="AD48" s="33"/>
      <c r="AE48" s="33"/>
      <c r="AF48" s="1">
        <f>AC48-AF46-AF47</f>
        <v>0</v>
      </c>
      <c r="AG48" s="33"/>
      <c r="AH48" s="33"/>
      <c r="AI48" s="1">
        <f>AF48-AI46-AI47</f>
        <v>0</v>
      </c>
      <c r="AJ48" s="33"/>
      <c r="AK48" s="33"/>
      <c r="AL48" s="1">
        <f>AI48-AL46-AL47</f>
        <v>0</v>
      </c>
      <c r="AM48" s="33"/>
      <c r="AN48" s="33"/>
      <c r="AO48" s="1"/>
    </row>
    <row r="49" spans="2:41" hidden="1" x14ac:dyDescent="0.2">
      <c r="AO49" s="1"/>
    </row>
    <row r="50" spans="2:41" hidden="1" x14ac:dyDescent="0.2">
      <c r="D50" s="4" t="s">
        <v>24</v>
      </c>
      <c r="E50" s="28">
        <v>1</v>
      </c>
      <c r="F50" s="28"/>
      <c r="G50" s="28"/>
      <c r="H50" s="28">
        <v>2</v>
      </c>
      <c r="I50" s="28"/>
      <c r="J50" s="28"/>
      <c r="K50" s="28">
        <v>3</v>
      </c>
      <c r="L50" s="28"/>
      <c r="M50" s="28"/>
      <c r="N50" s="28">
        <v>4</v>
      </c>
      <c r="O50" s="28"/>
      <c r="P50" s="28"/>
      <c r="Q50" s="28">
        <v>5</v>
      </c>
      <c r="R50" s="28"/>
      <c r="S50" s="28"/>
      <c r="T50" s="28">
        <v>6</v>
      </c>
      <c r="U50" s="28"/>
      <c r="V50" s="28"/>
      <c r="W50" s="28">
        <v>7</v>
      </c>
      <c r="X50" s="28"/>
      <c r="Y50" s="28"/>
      <c r="Z50" s="28">
        <v>8</v>
      </c>
      <c r="AA50" s="28"/>
      <c r="AB50" s="28"/>
      <c r="AC50" s="28">
        <v>9</v>
      </c>
      <c r="AD50" s="28"/>
      <c r="AE50" s="28"/>
      <c r="AF50" s="28">
        <v>10</v>
      </c>
      <c r="AG50" s="28"/>
      <c r="AH50" s="28"/>
      <c r="AI50" s="28">
        <v>11</v>
      </c>
      <c r="AJ50" s="28"/>
      <c r="AK50" s="28"/>
      <c r="AL50" s="28">
        <v>12</v>
      </c>
    </row>
    <row r="51" spans="2:41" hidden="1" x14ac:dyDescent="0.2">
      <c r="B51" s="9" t="s">
        <v>69</v>
      </c>
      <c r="C51" s="1" t="s">
        <v>72</v>
      </c>
      <c r="D51" s="27">
        <f>D35</f>
        <v>0</v>
      </c>
      <c r="E51" s="1">
        <f>SUM(F35)</f>
        <v>0</v>
      </c>
      <c r="H51" s="1">
        <f>SUM(I35)</f>
        <v>0</v>
      </c>
      <c r="K51" s="1">
        <f>SUM(L35)</f>
        <v>0</v>
      </c>
      <c r="N51" s="1">
        <f>SUM(O35)</f>
        <v>0</v>
      </c>
      <c r="Q51" s="1">
        <f>SUM(R35)</f>
        <v>0</v>
      </c>
      <c r="T51" s="1">
        <f>SUM(U35)</f>
        <v>0</v>
      </c>
      <c r="W51" s="1">
        <f>SUM(X35)</f>
        <v>0</v>
      </c>
      <c r="Z51" s="1">
        <f>SUM(AA35)</f>
        <v>0</v>
      </c>
      <c r="AC51" s="1">
        <f>SUM(AD35)</f>
        <v>0</v>
      </c>
      <c r="AF51" s="1">
        <f>SUM(AG35)</f>
        <v>0</v>
      </c>
      <c r="AI51" s="1">
        <f>SUM(AJ35)</f>
        <v>0</v>
      </c>
      <c r="AL51" s="1">
        <f>SUM(AM35)</f>
        <v>0</v>
      </c>
    </row>
    <row r="52" spans="2:41" hidden="1" x14ac:dyDescent="0.2">
      <c r="C52" s="4" t="s">
        <v>64</v>
      </c>
      <c r="D52" s="27">
        <f>D51</f>
        <v>0</v>
      </c>
      <c r="E52" s="4">
        <f>D52+E25</f>
        <v>0</v>
      </c>
      <c r="F52" s="4"/>
      <c r="G52" s="4"/>
      <c r="H52" s="4">
        <f>E52+H25</f>
        <v>0</v>
      </c>
      <c r="I52" s="4"/>
      <c r="J52" s="4"/>
      <c r="K52" s="4">
        <f>H52+K25</f>
        <v>0</v>
      </c>
      <c r="L52" s="4"/>
      <c r="M52" s="4"/>
      <c r="N52" s="4">
        <f>K52+N25</f>
        <v>0</v>
      </c>
      <c r="O52" s="4"/>
      <c r="P52" s="4"/>
      <c r="Q52" s="4">
        <f>N52+Q25</f>
        <v>0</v>
      </c>
      <c r="R52" s="4"/>
      <c r="S52" s="4"/>
      <c r="T52" s="4">
        <f>Q52+T25</f>
        <v>0</v>
      </c>
      <c r="U52" s="4"/>
      <c r="V52" s="4"/>
      <c r="W52" s="4">
        <f>T52+W25</f>
        <v>0</v>
      </c>
      <c r="X52" s="4"/>
      <c r="Y52" s="4"/>
      <c r="Z52" s="4">
        <f>W52+Z25</f>
        <v>0</v>
      </c>
      <c r="AA52" s="4"/>
      <c r="AB52" s="4"/>
      <c r="AC52" s="4">
        <f>Z52+AC25</f>
        <v>0</v>
      </c>
      <c r="AD52" s="4"/>
      <c r="AE52" s="4"/>
      <c r="AF52" s="4">
        <f>AC52+AF25</f>
        <v>0</v>
      </c>
      <c r="AG52" s="4"/>
      <c r="AH52" s="4"/>
      <c r="AI52" s="4">
        <f>AF52+AI25</f>
        <v>0</v>
      </c>
      <c r="AJ52" s="4"/>
      <c r="AK52" s="4"/>
      <c r="AL52" s="4">
        <f>AI52+AL25</f>
        <v>0</v>
      </c>
    </row>
    <row r="53" spans="2:41" hidden="1" x14ac:dyDescent="0.2">
      <c r="C53" s="4" t="s">
        <v>65</v>
      </c>
      <c r="D53" s="27">
        <f>D52</f>
        <v>0</v>
      </c>
      <c r="E53" s="4">
        <f>IF(RealMaaned&gt;=E50,E51,D53+E25)</f>
        <v>0</v>
      </c>
      <c r="F53" s="4"/>
      <c r="G53" s="4"/>
      <c r="H53" s="4">
        <f>IF(RealMaaned&gt;=H50,H51,E53+H25)</f>
        <v>0</v>
      </c>
      <c r="I53" s="4"/>
      <c r="J53" s="4"/>
      <c r="K53" s="4">
        <f>IF(RealMaaned&gt;=K50,K51,H53+K25)</f>
        <v>0</v>
      </c>
      <c r="L53" s="4"/>
      <c r="M53" s="4"/>
      <c r="N53" s="4">
        <f>IF(RealMaaned&gt;=N50,N51,K53+N25)</f>
        <v>0</v>
      </c>
      <c r="O53" s="4"/>
      <c r="P53" s="4"/>
      <c r="Q53" s="4">
        <f>IF(RealMaaned&gt;=Q50,Q51,N53+Q25)</f>
        <v>0</v>
      </c>
      <c r="R53" s="4"/>
      <c r="S53" s="4"/>
      <c r="T53" s="4">
        <f>IF(RealMaaned&gt;=T50,T51,Q53+T25)</f>
        <v>0</v>
      </c>
      <c r="U53" s="4"/>
      <c r="V53" s="4"/>
      <c r="W53" s="4">
        <f>IF(RealMaaned&gt;=W50,W51,T53+W25)</f>
        <v>0</v>
      </c>
      <c r="X53" s="4"/>
      <c r="Y53" s="4"/>
      <c r="Z53" s="4">
        <f>IF(RealMaaned&gt;=Z50,Z51,W53+Z25)</f>
        <v>0</v>
      </c>
      <c r="AA53" s="4"/>
      <c r="AB53" s="4"/>
      <c r="AC53" s="4">
        <f>IF(RealMaaned&gt;=AC50,AC51,Z53+AC25)</f>
        <v>0</v>
      </c>
      <c r="AD53" s="4"/>
      <c r="AE53" s="4"/>
      <c r="AF53" s="4">
        <f>IF(RealMaaned&gt;=AF50,AF51,AC53+AF25)</f>
        <v>0</v>
      </c>
      <c r="AG53" s="4"/>
      <c r="AH53" s="4"/>
      <c r="AI53" s="4">
        <f>IF(RealMaaned&gt;=AI50,AI51,AF53+AI25)</f>
        <v>0</v>
      </c>
      <c r="AJ53" s="4"/>
      <c r="AK53" s="4"/>
      <c r="AL53" s="4">
        <f>IF(RealMaaned&gt;=AL50,AL51,AI53+AL25)</f>
        <v>0</v>
      </c>
    </row>
  </sheetData>
  <sheetProtection algorithmName="SHA-512" hashValue="pfjQkuCDuc8Dhic+C7rACShhUyj0pjCVnm6Gso1TUThO3Tq1d/79ic2Dj4rhZ0wnPqZpEydrPySpw3bs1trNKQ==" saltValue="yiWmnNtx+HwnqFb4CYMxqQ==" spinCount="100000" sheet="1" objects="1" scenarios="1"/>
  <mergeCells count="27">
    <mergeCell ref="T2:V2"/>
    <mergeCell ref="E2:G2"/>
    <mergeCell ref="H2:J2"/>
    <mergeCell ref="K2:M2"/>
    <mergeCell ref="N2:P2"/>
    <mergeCell ref="Q2:S2"/>
    <mergeCell ref="AW2:BH2"/>
    <mergeCell ref="BI2:BT2"/>
    <mergeCell ref="BU2:CF2"/>
    <mergeCell ref="E31:G31"/>
    <mergeCell ref="H31:J31"/>
    <mergeCell ref="K31:M31"/>
    <mergeCell ref="N31:P31"/>
    <mergeCell ref="Q31:S31"/>
    <mergeCell ref="T31:V31"/>
    <mergeCell ref="W31:Y31"/>
    <mergeCell ref="W2:Y2"/>
    <mergeCell ref="Z2:AB2"/>
    <mergeCell ref="AC2:AE2"/>
    <mergeCell ref="AF2:AH2"/>
    <mergeCell ref="AI2:AK2"/>
    <mergeCell ref="AL2:AN2"/>
    <mergeCell ref="Z31:AB31"/>
    <mergeCell ref="AC31:AE31"/>
    <mergeCell ref="AF31:AH31"/>
    <mergeCell ref="AI31:AK31"/>
    <mergeCell ref="AL31:AN31"/>
  </mergeCell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VisBudget">
                <anchor>
                  <from>
                    <xdr:col>2</xdr:col>
                    <xdr:colOff>787400</xdr:colOff>
                    <xdr:row>0</xdr:row>
                    <xdr:rowOff>0</xdr:rowOff>
                  </from>
                  <to>
                    <xdr:col>2</xdr:col>
                    <xdr:colOff>1511300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VisRealiseret">
                <anchor>
                  <from>
                    <xdr:col>2</xdr:col>
                    <xdr:colOff>1549400</xdr:colOff>
                    <xdr:row>0</xdr:row>
                    <xdr:rowOff>0</xdr:rowOff>
                  </from>
                  <to>
                    <xdr:col>2</xdr:col>
                    <xdr:colOff>2616200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VisAlle">
                <anchor>
                  <from>
                    <xdr:col>2</xdr:col>
                    <xdr:colOff>63500</xdr:colOff>
                    <xdr:row>0</xdr:row>
                    <xdr:rowOff>0</xdr:rowOff>
                  </from>
                  <to>
                    <xdr:col>2</xdr:col>
                    <xdr:colOff>787400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VisPrognose">
                <anchor>
                  <from>
                    <xdr:col>2</xdr:col>
                    <xdr:colOff>2616200</xdr:colOff>
                    <xdr:row>0</xdr:row>
                    <xdr:rowOff>12700</xdr:rowOff>
                  </from>
                  <to>
                    <xdr:col>2</xdr:col>
                    <xdr:colOff>3098800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2"/>
  <dimension ref="A1:CP5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89" sqref="C89"/>
    </sheetView>
  </sheetViews>
  <sheetFormatPr baseColWidth="10" defaultColWidth="8.83203125" defaultRowHeight="15" x14ac:dyDescent="0.2"/>
  <cols>
    <col min="1" max="1" width="2.33203125" style="1" customWidth="1"/>
    <col min="2" max="2" width="5.5" style="2" customWidth="1"/>
    <col min="3" max="3" width="45.33203125" style="1" customWidth="1"/>
    <col min="4" max="4" width="9.83203125" style="1" customWidth="1"/>
    <col min="5" max="5" width="9.83203125" style="1" hidden="1" customWidth="1"/>
    <col min="6" max="6" width="9.83203125" style="1" customWidth="1"/>
    <col min="7" max="7" width="8.83203125" style="1" hidden="1" customWidth="1"/>
    <col min="8" max="8" width="9.83203125" style="1" hidden="1" customWidth="1"/>
    <col min="9" max="9" width="9.83203125" style="1" customWidth="1"/>
    <col min="10" max="10" width="8.83203125" style="1" hidden="1" customWidth="1"/>
    <col min="11" max="11" width="9.83203125" style="1" hidden="1" customWidth="1"/>
    <col min="12" max="12" width="9.83203125" style="1" customWidth="1"/>
    <col min="13" max="13" width="8.83203125" style="1" hidden="1" customWidth="1"/>
    <col min="14" max="14" width="9.83203125" style="1" hidden="1" customWidth="1"/>
    <col min="15" max="15" width="9.83203125" style="1" customWidth="1"/>
    <col min="16" max="16" width="8.83203125" style="1" hidden="1" customWidth="1"/>
    <col min="17" max="17" width="9.83203125" style="1" hidden="1" customWidth="1"/>
    <col min="18" max="18" width="9.83203125" style="1" customWidth="1"/>
    <col min="19" max="19" width="8.83203125" style="1" hidden="1" customWidth="1"/>
    <col min="20" max="20" width="9.83203125" style="1" hidden="1" customWidth="1"/>
    <col min="21" max="21" width="9.83203125" style="1" customWidth="1"/>
    <col min="22" max="22" width="8.83203125" style="1" hidden="1" customWidth="1"/>
    <col min="23" max="23" width="9.83203125" style="1" customWidth="1"/>
    <col min="24" max="24" width="9.83203125" style="1" hidden="1" customWidth="1"/>
    <col min="25" max="25" width="8.83203125" style="1" hidden="1" customWidth="1"/>
    <col min="26" max="26" width="9.83203125" style="1" customWidth="1"/>
    <col min="27" max="27" width="9.83203125" style="1" hidden="1" customWidth="1"/>
    <col min="28" max="28" width="8.83203125" style="1" hidden="1" customWidth="1"/>
    <col min="29" max="29" width="9.83203125" style="1" customWidth="1"/>
    <col min="30" max="30" width="9.83203125" style="1" hidden="1" customWidth="1"/>
    <col min="31" max="31" width="8.83203125" style="1" hidden="1" customWidth="1"/>
    <col min="32" max="32" width="9.83203125" style="1" customWidth="1"/>
    <col min="33" max="33" width="9.83203125" style="1" hidden="1" customWidth="1"/>
    <col min="34" max="34" width="8.83203125" style="1" hidden="1" customWidth="1"/>
    <col min="35" max="35" width="9.83203125" style="1" customWidth="1"/>
    <col min="36" max="36" width="9.83203125" style="1" hidden="1" customWidth="1"/>
    <col min="37" max="37" width="8.83203125" style="1" hidden="1" customWidth="1"/>
    <col min="38" max="38" width="9.83203125" style="1" customWidth="1"/>
    <col min="39" max="39" width="9.83203125" style="1" hidden="1" customWidth="1"/>
    <col min="40" max="40" width="8.83203125" style="1" hidden="1" customWidth="1"/>
    <col min="41" max="41" width="8.83203125" style="3" customWidth="1"/>
    <col min="42" max="44" width="10.5" style="1" customWidth="1"/>
    <col min="45" max="45" width="16.5" style="1" customWidth="1"/>
    <col min="46" max="46" width="10.1640625" style="1" bestFit="1" customWidth="1"/>
    <col min="47" max="47" width="11.6640625" style="1" bestFit="1" customWidth="1"/>
    <col min="48" max="48" width="9.33203125" style="1" bestFit="1" customWidth="1"/>
    <col min="49" max="49" width="12.33203125" style="1" hidden="1" customWidth="1"/>
    <col min="50" max="61" width="11.5" style="1" hidden="1" customWidth="1"/>
    <col min="62" max="84" width="0" style="1" hidden="1" customWidth="1"/>
    <col min="85" max="2897" width="8.83203125" style="1"/>
    <col min="2898" max="2898" width="13.5" style="1" customWidth="1"/>
    <col min="2899" max="16384" width="8.83203125" style="1"/>
  </cols>
  <sheetData>
    <row r="1" spans="2:84" ht="35" customHeight="1" x14ac:dyDescent="0.3">
      <c r="E1" s="1">
        <v>1</v>
      </c>
      <c r="F1" s="29">
        <v>3</v>
      </c>
      <c r="I1" s="85">
        <v>6</v>
      </c>
      <c r="J1" s="83"/>
      <c r="K1" s="83"/>
      <c r="L1" s="84" t="s">
        <v>20</v>
      </c>
      <c r="M1" s="82"/>
      <c r="N1" s="82"/>
      <c r="O1" s="82"/>
      <c r="AW1" s="23"/>
      <c r="AX1" s="92" t="s">
        <v>21</v>
      </c>
      <c r="AY1" s="91">
        <f>12-I1</f>
        <v>6</v>
      </c>
    </row>
    <row r="2" spans="2:84" s="4" customFormat="1" x14ac:dyDescent="0.2">
      <c r="B2" s="9" t="s">
        <v>38</v>
      </c>
      <c r="D2" s="5" t="s">
        <v>3</v>
      </c>
      <c r="E2" s="112" t="s">
        <v>14</v>
      </c>
      <c r="F2" s="113"/>
      <c r="G2" s="114"/>
      <c r="H2" s="112" t="s">
        <v>15</v>
      </c>
      <c r="I2" s="115"/>
      <c r="J2" s="114"/>
      <c r="K2" s="112" t="s">
        <v>16</v>
      </c>
      <c r="L2" s="113"/>
      <c r="M2" s="114"/>
      <c r="N2" s="112" t="s">
        <v>17</v>
      </c>
      <c r="O2" s="113"/>
      <c r="P2" s="114"/>
      <c r="Q2" s="112" t="s">
        <v>0</v>
      </c>
      <c r="R2" s="113"/>
      <c r="S2" s="114"/>
      <c r="T2" s="112" t="s">
        <v>18</v>
      </c>
      <c r="U2" s="113"/>
      <c r="V2" s="114"/>
      <c r="W2" s="112" t="s">
        <v>8</v>
      </c>
      <c r="X2" s="113"/>
      <c r="Y2" s="114"/>
      <c r="Z2" s="112" t="s">
        <v>9</v>
      </c>
      <c r="AA2" s="113"/>
      <c r="AB2" s="114"/>
      <c r="AC2" s="112" t="s">
        <v>10</v>
      </c>
      <c r="AD2" s="113"/>
      <c r="AE2" s="114"/>
      <c r="AF2" s="112" t="s">
        <v>11</v>
      </c>
      <c r="AG2" s="113"/>
      <c r="AH2" s="114"/>
      <c r="AI2" s="112" t="s">
        <v>12</v>
      </c>
      <c r="AJ2" s="113"/>
      <c r="AK2" s="114"/>
      <c r="AL2" s="112" t="s">
        <v>13</v>
      </c>
      <c r="AM2" s="113"/>
      <c r="AN2" s="113"/>
      <c r="AO2" s="65"/>
      <c r="AP2" s="25" t="s">
        <v>107</v>
      </c>
      <c r="AQ2" s="15"/>
      <c r="AR2" s="65"/>
      <c r="AS2" s="67"/>
      <c r="AT2" s="67"/>
      <c r="AU2" s="67" t="s">
        <v>103</v>
      </c>
      <c r="AV2" s="70"/>
      <c r="AW2" s="117" t="s">
        <v>22</v>
      </c>
      <c r="AX2" s="117"/>
      <c r="AY2" s="119"/>
      <c r="AZ2" s="117"/>
      <c r="BA2" s="117"/>
      <c r="BB2" s="117"/>
      <c r="BC2" s="117"/>
      <c r="BD2" s="117"/>
      <c r="BE2" s="117"/>
      <c r="BF2" s="117"/>
      <c r="BG2" s="117"/>
      <c r="BH2" s="118"/>
      <c r="BI2" s="116" t="s">
        <v>101</v>
      </c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8"/>
      <c r="BU2" s="116" t="s">
        <v>102</v>
      </c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8"/>
    </row>
    <row r="3" spans="2:84" s="4" customFormat="1" x14ac:dyDescent="0.2">
      <c r="B3" s="2" t="s">
        <v>110</v>
      </c>
      <c r="C3" s="4" t="s">
        <v>111</v>
      </c>
      <c r="E3" s="31" t="s">
        <v>39</v>
      </c>
      <c r="F3" s="24" t="s">
        <v>2</v>
      </c>
      <c r="G3" s="21" t="s">
        <v>1</v>
      </c>
      <c r="H3" s="31" t="s">
        <v>40</v>
      </c>
      <c r="I3" s="24" t="s">
        <v>2</v>
      </c>
      <c r="J3" s="21" t="s">
        <v>1</v>
      </c>
      <c r="K3" s="31" t="s">
        <v>41</v>
      </c>
      <c r="L3" s="24" t="s">
        <v>2</v>
      </c>
      <c r="M3" s="21" t="s">
        <v>1</v>
      </c>
      <c r="N3" s="31" t="s">
        <v>42</v>
      </c>
      <c r="O3" s="24" t="s">
        <v>2</v>
      </c>
      <c r="P3" s="21" t="s">
        <v>1</v>
      </c>
      <c r="Q3" s="31" t="s">
        <v>43</v>
      </c>
      <c r="R3" s="24" t="s">
        <v>2</v>
      </c>
      <c r="S3" s="21" t="s">
        <v>1</v>
      </c>
      <c r="T3" s="31" t="s">
        <v>44</v>
      </c>
      <c r="U3" s="24" t="s">
        <v>2</v>
      </c>
      <c r="V3" s="21" t="s">
        <v>1</v>
      </c>
      <c r="W3" s="31" t="s">
        <v>45</v>
      </c>
      <c r="X3" s="24" t="s">
        <v>2</v>
      </c>
      <c r="Y3" s="21" t="s">
        <v>1</v>
      </c>
      <c r="Z3" s="31" t="s">
        <v>46</v>
      </c>
      <c r="AA3" s="24" t="s">
        <v>2</v>
      </c>
      <c r="AB3" s="21" t="s">
        <v>1</v>
      </c>
      <c r="AC3" s="31" t="s">
        <v>47</v>
      </c>
      <c r="AD3" s="24" t="s">
        <v>2</v>
      </c>
      <c r="AE3" s="21" t="s">
        <v>1</v>
      </c>
      <c r="AF3" s="31" t="s">
        <v>48</v>
      </c>
      <c r="AG3" s="24" t="s">
        <v>2</v>
      </c>
      <c r="AH3" s="21" t="s">
        <v>1</v>
      </c>
      <c r="AI3" s="31" t="s">
        <v>49</v>
      </c>
      <c r="AJ3" s="24" t="s">
        <v>2</v>
      </c>
      <c r="AK3" s="21" t="s">
        <v>1</v>
      </c>
      <c r="AL3" s="32" t="s">
        <v>50</v>
      </c>
      <c r="AM3" s="20" t="s">
        <v>2</v>
      </c>
      <c r="AN3" s="20" t="s">
        <v>1</v>
      </c>
      <c r="AO3" s="66" t="s">
        <v>99</v>
      </c>
      <c r="AP3" s="71" t="s">
        <v>100</v>
      </c>
      <c r="AQ3" s="71" t="s">
        <v>26</v>
      </c>
      <c r="AR3" s="68"/>
      <c r="AS3" s="69"/>
      <c r="AT3" s="90" t="s">
        <v>109</v>
      </c>
      <c r="AU3" s="71" t="s">
        <v>19</v>
      </c>
      <c r="AV3" s="72" t="s">
        <v>26</v>
      </c>
      <c r="AW3" s="4">
        <v>1</v>
      </c>
      <c r="AX3" s="4">
        <v>2</v>
      </c>
      <c r="AY3" s="4">
        <v>3</v>
      </c>
      <c r="AZ3" s="4">
        <v>4</v>
      </c>
      <c r="BA3" s="4">
        <v>5</v>
      </c>
      <c r="BB3" s="4">
        <v>6</v>
      </c>
      <c r="BC3" s="4">
        <v>7</v>
      </c>
      <c r="BD3" s="4">
        <v>8</v>
      </c>
      <c r="BE3" s="4">
        <v>9</v>
      </c>
      <c r="BF3" s="4">
        <v>10</v>
      </c>
      <c r="BG3" s="4">
        <v>11</v>
      </c>
      <c r="BH3" s="4">
        <v>12</v>
      </c>
      <c r="BI3" s="4">
        <v>1</v>
      </c>
      <c r="BJ3" s="4">
        <v>2</v>
      </c>
      <c r="BK3" s="4">
        <v>3</v>
      </c>
      <c r="BL3" s="4">
        <v>4</v>
      </c>
      <c r="BM3" s="4">
        <v>5</v>
      </c>
      <c r="BN3" s="4">
        <v>6</v>
      </c>
      <c r="BO3" s="4">
        <v>7</v>
      </c>
      <c r="BP3" s="4">
        <v>8</v>
      </c>
      <c r="BQ3" s="4">
        <v>9</v>
      </c>
      <c r="BR3" s="4">
        <v>10</v>
      </c>
      <c r="BS3" s="4">
        <v>11</v>
      </c>
      <c r="BT3" s="4">
        <v>12</v>
      </c>
      <c r="BU3" s="4">
        <v>1</v>
      </c>
      <c r="BV3" s="4">
        <v>2</v>
      </c>
      <c r="BW3" s="4">
        <v>3</v>
      </c>
      <c r="BX3" s="4">
        <v>4</v>
      </c>
      <c r="BY3" s="4">
        <v>5</v>
      </c>
      <c r="BZ3" s="4">
        <v>6</v>
      </c>
      <c r="CA3" s="4">
        <v>7</v>
      </c>
      <c r="CB3" s="4">
        <v>8</v>
      </c>
      <c r="CC3" s="4">
        <v>9</v>
      </c>
      <c r="CD3" s="4">
        <v>10</v>
      </c>
      <c r="CE3" s="4">
        <v>11</v>
      </c>
      <c r="CF3" s="4">
        <v>12</v>
      </c>
    </row>
    <row r="4" spans="2:84" s="4" customFormat="1" x14ac:dyDescent="0.2">
      <c r="B4" s="2"/>
      <c r="C4" s="4" t="s">
        <v>89</v>
      </c>
      <c r="D4" s="4" t="s">
        <v>3</v>
      </c>
      <c r="E4" s="13"/>
      <c r="F4" s="45"/>
      <c r="G4" s="8">
        <f>F4-E4</f>
        <v>0</v>
      </c>
      <c r="H4" s="13"/>
      <c r="I4" s="45"/>
      <c r="J4" s="8">
        <f>I4-H4</f>
        <v>0</v>
      </c>
      <c r="K4" s="13"/>
      <c r="L4" s="45"/>
      <c r="M4" s="8">
        <f t="shared" ref="M4:M14" si="0">L4-K4</f>
        <v>0</v>
      </c>
      <c r="N4" s="13"/>
      <c r="O4" s="45"/>
      <c r="P4" s="8">
        <f t="shared" ref="P4:P14" si="1">O4-N4</f>
        <v>0</v>
      </c>
      <c r="Q4" s="13"/>
      <c r="R4" s="45"/>
      <c r="S4" s="8">
        <f t="shared" ref="S4:S14" si="2">R4-Q4</f>
        <v>0</v>
      </c>
      <c r="T4" s="13"/>
      <c r="U4" s="45"/>
      <c r="V4" s="8">
        <f t="shared" ref="V4:V14" si="3">U4-T4</f>
        <v>0</v>
      </c>
      <c r="W4" s="13"/>
      <c r="X4" s="45"/>
      <c r="Y4" s="8">
        <f t="shared" ref="Y4:Y14" si="4">X4-W4</f>
        <v>0</v>
      </c>
      <c r="Z4" s="13"/>
      <c r="AA4" s="45"/>
      <c r="AB4" s="8">
        <f t="shared" ref="AB4:AB14" si="5">AA4-Z4</f>
        <v>0</v>
      </c>
      <c r="AC4" s="13"/>
      <c r="AD4" s="45"/>
      <c r="AE4" s="8">
        <f t="shared" ref="AE4:AE14" si="6">AD4-AC4</f>
        <v>0</v>
      </c>
      <c r="AF4" s="13"/>
      <c r="AG4" s="45"/>
      <c r="AH4" s="8">
        <f t="shared" ref="AH4:AH14" si="7">AG4-AF4</f>
        <v>0</v>
      </c>
      <c r="AI4" s="13"/>
      <c r="AJ4" s="45"/>
      <c r="AK4" s="8">
        <f t="shared" ref="AK4:AK14" si="8">AJ4-AI4</f>
        <v>0</v>
      </c>
      <c r="AL4" s="13"/>
      <c r="AM4" s="45"/>
      <c r="AN4" s="8">
        <f t="shared" ref="AN4:AN14" si="9">AM4-AL4</f>
        <v>0</v>
      </c>
      <c r="AO4" s="73">
        <f t="shared" ref="AO4:AO14" si="10">INDEX(BI4:BT4,1,$I$1)</f>
        <v>0</v>
      </c>
      <c r="AP4" s="80">
        <f t="shared" ref="AP4:AP14" si="11">INDEX(BU4:CF4,1,$I$1)</f>
        <v>0</v>
      </c>
      <c r="AQ4" s="22">
        <f>AP4-AO4</f>
        <v>0</v>
      </c>
      <c r="AR4" s="7" t="str">
        <f t="shared" ref="AR4:AR14" si="12">C4</f>
        <v>OMSÆTNING I ALT</v>
      </c>
      <c r="AT4" s="22"/>
      <c r="AU4" s="88">
        <f>INDEX(AW4:BH4,1,$I$1)</f>
        <v>0</v>
      </c>
      <c r="AV4" s="22">
        <f>AU4-AT4</f>
        <v>0</v>
      </c>
      <c r="AW4" s="4">
        <f>AL4+AI4+AF4+AC4+Z4+W4+T4+Q4+N4+K4+H4+F4</f>
        <v>0</v>
      </c>
      <c r="AX4" s="4">
        <f>AL4+AI4+AF4+AC4+Z4+W4+T4+Q4+N4+K4+I4+F4</f>
        <v>0</v>
      </c>
      <c r="AY4" s="4">
        <f>AL4+AI4+AF4+AC4+Z4+W4+T4+Q4+N4+L4+I4+F4</f>
        <v>0</v>
      </c>
      <c r="AZ4" s="4">
        <f>AL4+AI4+AF4+AC4+Z4+W4+T4+Q4+O4+L4+I4+F4</f>
        <v>0</v>
      </c>
      <c r="BA4" s="4">
        <f>AL4+AI4+AF4+AC4+Z4+W4+T4+R4+O4+L4+I4+F4</f>
        <v>0</v>
      </c>
      <c r="BB4" s="4">
        <f>AL4+AI4+AF4+AC4+Z4+W4+U4+R4+O4+L4+I4+F4</f>
        <v>0</v>
      </c>
      <c r="BC4" s="4">
        <f>AL4+AI4+AF4+AC4+Z4+X4+U4+R4+O4+L4+I4+F4</f>
        <v>0</v>
      </c>
      <c r="BD4" s="4">
        <f>AL4+AI4+AF4+AC4+AA4+X4+U4+R4+O4+L4+I4+F4</f>
        <v>0</v>
      </c>
      <c r="BE4" s="4">
        <f>AL4+AI4+AF4+AD4+AA4+X4+U4+R4+O4+L4+I4+F4</f>
        <v>0</v>
      </c>
      <c r="BF4" s="4">
        <f>AL4+AI4+AG4+AD4+AA4+X4+U4+R4+O4+L4+I4+F4</f>
        <v>0</v>
      </c>
      <c r="BG4" s="4">
        <f>AL4+AJ4+AG4+AD4+AA4+X4+U4+R4+O4+L4+I4+F4</f>
        <v>0</v>
      </c>
      <c r="BH4" s="4">
        <f>AM4+AJ4+AG4+AD4+AA4+X4+U4+R4+O4+L4+I4+F4</f>
        <v>0</v>
      </c>
      <c r="BI4" s="4">
        <f>E4</f>
        <v>0</v>
      </c>
      <c r="BJ4" s="4">
        <f t="shared" ref="BJ4:BJ15" si="13">BI4+H4</f>
        <v>0</v>
      </c>
      <c r="BK4" s="4">
        <f t="shared" ref="BK4:BK15" si="14">BJ4+K4</f>
        <v>0</v>
      </c>
      <c r="BL4" s="4">
        <f t="shared" ref="BL4:BL15" si="15">BK4+N4</f>
        <v>0</v>
      </c>
      <c r="BM4" s="4">
        <f t="shared" ref="BM4:BM15" si="16">BL4+Q4</f>
        <v>0</v>
      </c>
      <c r="BN4" s="4">
        <f t="shared" ref="BN4:BN15" si="17">BM4+T4</f>
        <v>0</v>
      </c>
      <c r="BO4" s="4">
        <f t="shared" ref="BO4:BO15" si="18">BN4+W4</f>
        <v>0</v>
      </c>
      <c r="BP4" s="4">
        <f t="shared" ref="BP4:BP15" si="19">BO4+Z4</f>
        <v>0</v>
      </c>
      <c r="BQ4" s="4">
        <f t="shared" ref="BQ4:BQ15" si="20">BP4+AC4</f>
        <v>0</v>
      </c>
      <c r="BR4" s="4">
        <f t="shared" ref="BR4:BR15" si="21">+BQ4+AF4</f>
        <v>0</v>
      </c>
      <c r="BS4" s="4">
        <f t="shared" ref="BS4:BS15" si="22">+BR4+AI4</f>
        <v>0</v>
      </c>
      <c r="BT4" s="4">
        <f t="shared" ref="BT4:BT15" si="23">BS4+AL4</f>
        <v>0</v>
      </c>
      <c r="BU4" s="4">
        <f>F4</f>
        <v>0</v>
      </c>
      <c r="BV4" s="4">
        <f t="shared" ref="BV4:BV15" si="24">BU4+I4</f>
        <v>0</v>
      </c>
      <c r="BW4" s="4">
        <f t="shared" ref="BW4:BW15" si="25">BV4+L4</f>
        <v>0</v>
      </c>
      <c r="BX4" s="4">
        <f t="shared" ref="BX4:BX15" si="26">BW4+O4</f>
        <v>0</v>
      </c>
      <c r="BY4" s="4">
        <f t="shared" ref="BY4:BY15" si="27">BX4+R4</f>
        <v>0</v>
      </c>
      <c r="BZ4" s="4">
        <f t="shared" ref="BZ4:BZ15" si="28">BY4+U4</f>
        <v>0</v>
      </c>
      <c r="CA4" s="4">
        <f t="shared" ref="CA4:CA15" si="29">BZ4+X4</f>
        <v>0</v>
      </c>
      <c r="CB4" s="4">
        <f t="shared" ref="CB4:CB15" si="30">CA4+AA4</f>
        <v>0</v>
      </c>
      <c r="CC4" s="4">
        <f t="shared" ref="CC4:CC15" si="31">CB4+AD4</f>
        <v>0</v>
      </c>
      <c r="CD4" s="4">
        <f t="shared" ref="CD4:CD15" si="32">+CC4+AG4</f>
        <v>0</v>
      </c>
      <c r="CE4" s="4">
        <f t="shared" ref="CE4:CE15" si="33">+CD4+AJ4</f>
        <v>0</v>
      </c>
      <c r="CF4" s="4">
        <f t="shared" ref="CF4:CF15" si="34">CE4+AM4</f>
        <v>0</v>
      </c>
    </row>
    <row r="5" spans="2:84" s="4" customFormat="1" x14ac:dyDescent="0.2">
      <c r="B5" s="2"/>
      <c r="C5" s="4" t="s">
        <v>108</v>
      </c>
      <c r="D5" s="4" t="s">
        <v>3</v>
      </c>
      <c r="E5" s="13"/>
      <c r="F5" s="45"/>
      <c r="G5" s="8">
        <f t="shared" ref="G5:G14" si="35">F5-E5</f>
        <v>0</v>
      </c>
      <c r="H5" s="13"/>
      <c r="I5" s="45"/>
      <c r="J5" s="8">
        <f t="shared" ref="J5:J6" si="36">I5-H5</f>
        <v>0</v>
      </c>
      <c r="K5" s="13"/>
      <c r="L5" s="45"/>
      <c r="M5" s="8">
        <f t="shared" si="0"/>
        <v>0</v>
      </c>
      <c r="N5" s="13"/>
      <c r="O5" s="45"/>
      <c r="P5" s="8">
        <f t="shared" si="1"/>
        <v>0</v>
      </c>
      <c r="Q5" s="13"/>
      <c r="R5" s="45"/>
      <c r="S5" s="8">
        <f t="shared" si="2"/>
        <v>0</v>
      </c>
      <c r="T5" s="13"/>
      <c r="U5" s="45"/>
      <c r="V5" s="8">
        <f t="shared" si="3"/>
        <v>0</v>
      </c>
      <c r="W5" s="13"/>
      <c r="X5" s="45"/>
      <c r="Y5" s="8">
        <f t="shared" si="4"/>
        <v>0</v>
      </c>
      <c r="Z5" s="13"/>
      <c r="AA5" s="45"/>
      <c r="AB5" s="8">
        <f t="shared" si="5"/>
        <v>0</v>
      </c>
      <c r="AC5" s="13"/>
      <c r="AD5" s="45"/>
      <c r="AE5" s="8">
        <f t="shared" si="6"/>
        <v>0</v>
      </c>
      <c r="AF5" s="13"/>
      <c r="AG5" s="45"/>
      <c r="AH5" s="8">
        <f t="shared" si="7"/>
        <v>0</v>
      </c>
      <c r="AI5" s="13"/>
      <c r="AJ5" s="45"/>
      <c r="AK5" s="8">
        <f t="shared" si="8"/>
        <v>0</v>
      </c>
      <c r="AL5" s="13"/>
      <c r="AM5" s="45"/>
      <c r="AN5" s="8">
        <f t="shared" si="9"/>
        <v>0</v>
      </c>
      <c r="AO5" s="73">
        <f t="shared" si="10"/>
        <v>0</v>
      </c>
      <c r="AP5" s="80">
        <f t="shared" si="11"/>
        <v>0</v>
      </c>
      <c r="AQ5" s="22">
        <f t="shared" ref="AQ5:AQ6" si="37">AP5-AO5</f>
        <v>0</v>
      </c>
      <c r="AR5" s="7" t="str">
        <f t="shared" si="12"/>
        <v xml:space="preserve">   SUM AF FRØ</v>
      </c>
      <c r="AT5" s="22"/>
      <c r="AU5" s="88">
        <f>INDEX(AW5:BH5,1,$I$1)</f>
        <v>0</v>
      </c>
      <c r="AV5" s="22">
        <f t="shared" ref="AV5:AV6" si="38">AU5-AT5</f>
        <v>0</v>
      </c>
      <c r="AW5" s="4">
        <f>AL5+AI5+AF5+AC5+Z5+W5+T5+Q5+N5+K5+H5+F5</f>
        <v>0</v>
      </c>
      <c r="AX5" s="4">
        <f>AL5+AI5+AF5+AC5+Z5+W5+T5+Q5+N5+K5+I5+F5</f>
        <v>0</v>
      </c>
      <c r="AY5" s="4">
        <f>AL5+AI5+AF5+AC5+Z5+W5+T5+Q5+N5+L5+I5+F5</f>
        <v>0</v>
      </c>
      <c r="AZ5" s="4">
        <f>AL5+AI5+AF5+AC5+Z5+W5+T5+Q5+O5+L5+I5+F5</f>
        <v>0</v>
      </c>
      <c r="BA5" s="4">
        <f>AL5+AI5+AF5+AC5+Z5+W5+T5+R5+O5+L5+I5+F5</f>
        <v>0</v>
      </c>
      <c r="BB5" s="4">
        <f>AL5+AI5+AF5+AC5+Z5+W5+U5+R5+O5+L5+I5+F5</f>
        <v>0</v>
      </c>
      <c r="BC5" s="4">
        <f>AL5+AI5+AF5+AC5+Z5+X5+U5+R5+O5+L5+I5+F5</f>
        <v>0</v>
      </c>
      <c r="BD5" s="4">
        <f>AL5+AI5+AF5+AC5+AA5+X5+U5+R5+O5+L5+I5+F5</f>
        <v>0</v>
      </c>
      <c r="BE5" s="4">
        <f>AL5+AI5+AF5+AD5+AA5+X5+U5+R5+O5+L5+I5+F5</f>
        <v>0</v>
      </c>
      <c r="BF5" s="4">
        <f>AL5+AI5+AG5+AD5+AA5+X5+U5+R5+O5+L5+I5+F5</f>
        <v>0</v>
      </c>
      <c r="BG5" s="4">
        <f>AL5+AJ5+AG5+AD5+AA5+X5+U5+R5+O5+L5+I5+F5</f>
        <v>0</v>
      </c>
      <c r="BH5" s="4">
        <f>AM5+AJ5+AG5+AD5+AA5+X5+U5+R5+O5+L5+I5+F5</f>
        <v>0</v>
      </c>
      <c r="BI5" s="4">
        <f t="shared" ref="BI5:BI15" si="39">E5</f>
        <v>0</v>
      </c>
      <c r="BJ5" s="4">
        <f t="shared" si="13"/>
        <v>0</v>
      </c>
      <c r="BK5" s="4">
        <f t="shared" si="14"/>
        <v>0</v>
      </c>
      <c r="BL5" s="4">
        <f t="shared" si="15"/>
        <v>0</v>
      </c>
      <c r="BM5" s="4">
        <f t="shared" si="16"/>
        <v>0</v>
      </c>
      <c r="BN5" s="4">
        <f t="shared" si="17"/>
        <v>0</v>
      </c>
      <c r="BO5" s="4">
        <f t="shared" si="18"/>
        <v>0</v>
      </c>
      <c r="BP5" s="4">
        <f t="shared" si="19"/>
        <v>0</v>
      </c>
      <c r="BQ5" s="4">
        <f t="shared" si="20"/>
        <v>0</v>
      </c>
      <c r="BR5" s="4">
        <f t="shared" si="21"/>
        <v>0</v>
      </c>
      <c r="BS5" s="4">
        <f t="shared" si="22"/>
        <v>0</v>
      </c>
      <c r="BT5" s="4">
        <f t="shared" si="23"/>
        <v>0</v>
      </c>
      <c r="BU5" s="4">
        <f t="shared" ref="BU5:BU15" si="40">F5</f>
        <v>0</v>
      </c>
      <c r="BV5" s="4">
        <f t="shared" si="24"/>
        <v>0</v>
      </c>
      <c r="BW5" s="4">
        <f t="shared" si="25"/>
        <v>0</v>
      </c>
      <c r="BX5" s="4">
        <f t="shared" si="26"/>
        <v>0</v>
      </c>
      <c r="BY5" s="4">
        <f t="shared" si="27"/>
        <v>0</v>
      </c>
      <c r="BZ5" s="4">
        <f t="shared" si="28"/>
        <v>0</v>
      </c>
      <c r="CA5" s="4">
        <f t="shared" si="29"/>
        <v>0</v>
      </c>
      <c r="CB5" s="4">
        <f t="shared" si="30"/>
        <v>0</v>
      </c>
      <c r="CC5" s="4">
        <f t="shared" si="31"/>
        <v>0</v>
      </c>
      <c r="CD5" s="4">
        <f t="shared" si="32"/>
        <v>0</v>
      </c>
      <c r="CE5" s="4">
        <f t="shared" si="33"/>
        <v>0</v>
      </c>
      <c r="CF5" s="4">
        <f t="shared" si="34"/>
        <v>0</v>
      </c>
    </row>
    <row r="6" spans="2:84" s="4" customFormat="1" x14ac:dyDescent="0.2">
      <c r="B6" s="2"/>
      <c r="C6" s="4" t="s">
        <v>90</v>
      </c>
      <c r="D6" s="4" t="s">
        <v>3</v>
      </c>
      <c r="E6" s="13"/>
      <c r="F6" s="45"/>
      <c r="G6" s="8">
        <f t="shared" si="35"/>
        <v>0</v>
      </c>
      <c r="H6" s="13"/>
      <c r="I6" s="45"/>
      <c r="J6" s="8">
        <f t="shared" si="36"/>
        <v>0</v>
      </c>
      <c r="K6" s="13"/>
      <c r="L6" s="45"/>
      <c r="M6" s="8">
        <f t="shared" si="0"/>
        <v>0</v>
      </c>
      <c r="N6" s="13"/>
      <c r="O6" s="45"/>
      <c r="P6" s="8">
        <f t="shared" si="1"/>
        <v>0</v>
      </c>
      <c r="Q6" s="13"/>
      <c r="R6" s="45"/>
      <c r="S6" s="8">
        <f t="shared" si="2"/>
        <v>0</v>
      </c>
      <c r="T6" s="13"/>
      <c r="U6" s="45"/>
      <c r="V6" s="8">
        <f t="shared" si="3"/>
        <v>0</v>
      </c>
      <c r="W6" s="13"/>
      <c r="X6" s="45"/>
      <c r="Y6" s="8">
        <f t="shared" si="4"/>
        <v>0</v>
      </c>
      <c r="Z6" s="13"/>
      <c r="AA6" s="45"/>
      <c r="AB6" s="8">
        <f t="shared" si="5"/>
        <v>0</v>
      </c>
      <c r="AC6" s="13"/>
      <c r="AD6" s="45"/>
      <c r="AE6" s="8">
        <f t="shared" si="6"/>
        <v>0</v>
      </c>
      <c r="AF6" s="13"/>
      <c r="AG6" s="45"/>
      <c r="AH6" s="8">
        <f t="shared" si="7"/>
        <v>0</v>
      </c>
      <c r="AI6" s="13"/>
      <c r="AJ6" s="45"/>
      <c r="AK6" s="8">
        <f t="shared" si="8"/>
        <v>0</v>
      </c>
      <c r="AL6" s="13"/>
      <c r="AM6" s="45"/>
      <c r="AN6" s="8">
        <f t="shared" si="9"/>
        <v>0</v>
      </c>
      <c r="AO6" s="73">
        <f t="shared" si="10"/>
        <v>0</v>
      </c>
      <c r="AP6" s="80">
        <f t="shared" si="11"/>
        <v>0</v>
      </c>
      <c r="AQ6" s="22">
        <f t="shared" si="37"/>
        <v>0</v>
      </c>
      <c r="AR6" s="7" t="str">
        <f t="shared" si="12"/>
        <v>VAREFORBRUG</v>
      </c>
      <c r="AT6" s="22"/>
      <c r="AU6" s="88">
        <f>INDEX(AW6:BH6,1,$I$1)</f>
        <v>0</v>
      </c>
      <c r="AV6" s="22">
        <f t="shared" si="38"/>
        <v>0</v>
      </c>
      <c r="AW6" s="4">
        <f>AL6+AI6+AF6+AC6+Z6+W6+T6+Q6+N6+K6+H6+F6</f>
        <v>0</v>
      </c>
      <c r="AX6" s="4">
        <f>AL6+AI6+AF6+AC6+Z6+W6+T6+Q6+N6+K6+I6+F6</f>
        <v>0</v>
      </c>
      <c r="AY6" s="4">
        <f>AL6+AI6+AF6+AC6+Z6+W6+T6+Q6+N6+L6+I6+F6</f>
        <v>0</v>
      </c>
      <c r="AZ6" s="4">
        <f>AL6+AI6+AF6+AC6+Z6+W6+T6+Q6+O6+L6+I6+F6</f>
        <v>0</v>
      </c>
      <c r="BA6" s="4">
        <f>AL6+AI6+AF6+AC6+Z6+W6+T6+R6+O6+L6+I6+F6</f>
        <v>0</v>
      </c>
      <c r="BB6" s="4">
        <f>AL6+AI6+AF6+AC6+Z6+W6+U6+R6+O6+L6+I6+F6</f>
        <v>0</v>
      </c>
      <c r="BC6" s="4">
        <f>AL6+AI6+AF6+AC6+Z6+X6+U6+R6+O6+L6+I6+F6</f>
        <v>0</v>
      </c>
      <c r="BD6" s="4">
        <f>AL6+AI6+AF6+AC6+AA6+X6+U6+R6+O6+L6+I6+F6</f>
        <v>0</v>
      </c>
      <c r="BE6" s="4">
        <f>AL6+AI6+AF6+AD6+AA6+X6+U6+R6+O6+L6+I6+F6</f>
        <v>0</v>
      </c>
      <c r="BF6" s="4">
        <f>AL6+AI6+AG6+AD6+AA6+X6+U6+R6+O6+L6+I6+F6</f>
        <v>0</v>
      </c>
      <c r="BG6" s="4">
        <f>AL6+AJ6+AG6+AD6+AA6+X6+U6+R6+O6+L6+I6+F6</f>
        <v>0</v>
      </c>
      <c r="BH6" s="4">
        <f>AM6+AJ6+AG6+AD6+AA6+X6+U6+R6+O6+L6+I6+F6</f>
        <v>0</v>
      </c>
      <c r="BI6" s="4">
        <f t="shared" si="39"/>
        <v>0</v>
      </c>
      <c r="BJ6" s="4">
        <f t="shared" si="13"/>
        <v>0</v>
      </c>
      <c r="BK6" s="4">
        <f t="shared" si="14"/>
        <v>0</v>
      </c>
      <c r="BL6" s="4">
        <f t="shared" si="15"/>
        <v>0</v>
      </c>
      <c r="BM6" s="4">
        <f t="shared" si="16"/>
        <v>0</v>
      </c>
      <c r="BN6" s="4">
        <f t="shared" si="17"/>
        <v>0</v>
      </c>
      <c r="BO6" s="4">
        <f t="shared" si="18"/>
        <v>0</v>
      </c>
      <c r="BP6" s="4">
        <f t="shared" si="19"/>
        <v>0</v>
      </c>
      <c r="BQ6" s="4">
        <f t="shared" si="20"/>
        <v>0</v>
      </c>
      <c r="BR6" s="4">
        <f t="shared" si="21"/>
        <v>0</v>
      </c>
      <c r="BS6" s="4">
        <f t="shared" si="22"/>
        <v>0</v>
      </c>
      <c r="BT6" s="4">
        <f t="shared" si="23"/>
        <v>0</v>
      </c>
      <c r="BU6" s="4">
        <f t="shared" si="40"/>
        <v>0</v>
      </c>
      <c r="BV6" s="4">
        <f t="shared" si="24"/>
        <v>0</v>
      </c>
      <c r="BW6" s="4">
        <f t="shared" si="25"/>
        <v>0</v>
      </c>
      <c r="BX6" s="4">
        <f t="shared" si="26"/>
        <v>0</v>
      </c>
      <c r="BY6" s="4">
        <f t="shared" si="27"/>
        <v>0</v>
      </c>
      <c r="BZ6" s="4">
        <f t="shared" si="28"/>
        <v>0</v>
      </c>
      <c r="CA6" s="4">
        <f t="shared" si="29"/>
        <v>0</v>
      </c>
      <c r="CB6" s="4">
        <f t="shared" si="30"/>
        <v>0</v>
      </c>
      <c r="CC6" s="4">
        <f t="shared" si="31"/>
        <v>0</v>
      </c>
      <c r="CD6" s="4">
        <f t="shared" si="32"/>
        <v>0</v>
      </c>
      <c r="CE6" s="4">
        <f t="shared" si="33"/>
        <v>0</v>
      </c>
      <c r="CF6" s="4">
        <f t="shared" si="34"/>
        <v>0</v>
      </c>
    </row>
    <row r="7" spans="2:84" s="5" customFormat="1" x14ac:dyDescent="0.2">
      <c r="B7" s="9"/>
      <c r="C7" s="5" t="s">
        <v>91</v>
      </c>
      <c r="E7" s="64">
        <f>SUM(E4:E6)</f>
        <v>0</v>
      </c>
      <c r="F7" s="5">
        <f>SUM(F4:F6)</f>
        <v>0</v>
      </c>
      <c r="G7" s="8">
        <f t="shared" si="35"/>
        <v>0</v>
      </c>
      <c r="H7" s="64">
        <f>SUM(H4:H6)</f>
        <v>0</v>
      </c>
      <c r="I7" s="5">
        <f>SUM(I4:I6)</f>
        <v>0</v>
      </c>
      <c r="J7" s="86">
        <f>I7-H7</f>
        <v>0</v>
      </c>
      <c r="K7" s="64">
        <f>SUM(K4:K6)</f>
        <v>0</v>
      </c>
      <c r="L7" s="5">
        <f>SUM(L4:L6)</f>
        <v>0</v>
      </c>
      <c r="M7" s="86">
        <f t="shared" si="0"/>
        <v>0</v>
      </c>
      <c r="N7" s="64">
        <f>SUM(N4:N6)</f>
        <v>0</v>
      </c>
      <c r="O7" s="5">
        <f>SUM(O4:O6)</f>
        <v>0</v>
      </c>
      <c r="P7" s="86">
        <f t="shared" si="1"/>
        <v>0</v>
      </c>
      <c r="Q7" s="64">
        <f>SUM(Q4:Q6)</f>
        <v>0</v>
      </c>
      <c r="R7" s="5">
        <f>SUM(R4:R6)</f>
        <v>0</v>
      </c>
      <c r="S7" s="86">
        <f t="shared" si="2"/>
        <v>0</v>
      </c>
      <c r="T7" s="64">
        <f>SUM(T4:T6)</f>
        <v>0</v>
      </c>
      <c r="U7" s="5">
        <f>SUM(U4:U6)</f>
        <v>0</v>
      </c>
      <c r="V7" s="86">
        <f t="shared" si="3"/>
        <v>0</v>
      </c>
      <c r="W7" s="64">
        <f>SUM(W4:W6)</f>
        <v>0</v>
      </c>
      <c r="X7" s="5">
        <f>SUM(X4:X6)</f>
        <v>0</v>
      </c>
      <c r="Y7" s="86">
        <f t="shared" si="4"/>
        <v>0</v>
      </c>
      <c r="Z7" s="64">
        <f>SUM(Z4:Z6)</f>
        <v>0</v>
      </c>
      <c r="AA7" s="5">
        <f>SUM(AA4:AA6)</f>
        <v>0</v>
      </c>
      <c r="AB7" s="86">
        <f t="shared" si="5"/>
        <v>0</v>
      </c>
      <c r="AC7" s="64">
        <f>SUM(AC4:AC6)</f>
        <v>0</v>
      </c>
      <c r="AD7" s="5">
        <f>SUM(AD4:AD6)</f>
        <v>0</v>
      </c>
      <c r="AE7" s="86">
        <f t="shared" si="6"/>
        <v>0</v>
      </c>
      <c r="AF7" s="64">
        <f>SUM(AF4:AF6)</f>
        <v>0</v>
      </c>
      <c r="AG7" s="5">
        <f>SUM(AG4:AG6)</f>
        <v>0</v>
      </c>
      <c r="AH7" s="86">
        <f t="shared" si="7"/>
        <v>0</v>
      </c>
      <c r="AI7" s="64">
        <f>SUM(AI4:AI6)</f>
        <v>0</v>
      </c>
      <c r="AJ7" s="5">
        <f>SUM(AJ4:AJ6)</f>
        <v>0</v>
      </c>
      <c r="AK7" s="86">
        <f t="shared" si="8"/>
        <v>0</v>
      </c>
      <c r="AL7" s="64">
        <f>SUM(AL4:AL6)</f>
        <v>0</v>
      </c>
      <c r="AM7" s="5">
        <f>SUM(AM4:AM6)</f>
        <v>0</v>
      </c>
      <c r="AN7" s="86">
        <f t="shared" si="9"/>
        <v>0</v>
      </c>
      <c r="AO7" s="87">
        <f t="shared" si="10"/>
        <v>0</v>
      </c>
      <c r="AP7" s="87">
        <f t="shared" si="11"/>
        <v>0</v>
      </c>
      <c r="AQ7" s="87">
        <f>SUM(AQ4:AQ6)</f>
        <v>0</v>
      </c>
      <c r="AR7" s="64" t="str">
        <f t="shared" si="12"/>
        <v>DÆKNINGSBIDRAG</v>
      </c>
      <c r="AT7" s="87">
        <f>SUM(AT4:AT6)</f>
        <v>0</v>
      </c>
      <c r="AU7" s="86">
        <f>SUM(AU4:AU6)</f>
        <v>0</v>
      </c>
      <c r="AV7" s="87">
        <f>SUM(AV4:AV6)</f>
        <v>0</v>
      </c>
      <c r="AW7" s="5">
        <f>SUM(AW4:AW6)</f>
        <v>0</v>
      </c>
      <c r="AX7" s="5">
        <f>SUM(AX4:AX6)</f>
        <v>0</v>
      </c>
      <c r="AY7" s="5">
        <f t="shared" ref="AY7:BH7" si="41">SUM(AY4:AY6)</f>
        <v>0</v>
      </c>
      <c r="AZ7" s="5">
        <f t="shared" si="41"/>
        <v>0</v>
      </c>
      <c r="BA7" s="5">
        <f t="shared" si="41"/>
        <v>0</v>
      </c>
      <c r="BB7" s="5">
        <f t="shared" si="41"/>
        <v>0</v>
      </c>
      <c r="BC7" s="5">
        <f t="shared" si="41"/>
        <v>0</v>
      </c>
      <c r="BD7" s="5">
        <f t="shared" si="41"/>
        <v>0</v>
      </c>
      <c r="BE7" s="5">
        <f t="shared" si="41"/>
        <v>0</v>
      </c>
      <c r="BF7" s="5">
        <f t="shared" si="41"/>
        <v>0</v>
      </c>
      <c r="BG7" s="5">
        <f t="shared" si="41"/>
        <v>0</v>
      </c>
      <c r="BH7" s="5">
        <f t="shared" si="41"/>
        <v>0</v>
      </c>
      <c r="BI7" s="5">
        <f t="shared" si="39"/>
        <v>0</v>
      </c>
      <c r="BJ7" s="5">
        <f t="shared" si="13"/>
        <v>0</v>
      </c>
      <c r="BK7" s="5">
        <f t="shared" si="14"/>
        <v>0</v>
      </c>
      <c r="BL7" s="5">
        <f t="shared" si="15"/>
        <v>0</v>
      </c>
      <c r="BM7" s="5">
        <f t="shared" si="16"/>
        <v>0</v>
      </c>
      <c r="BN7" s="5">
        <f t="shared" si="17"/>
        <v>0</v>
      </c>
      <c r="BO7" s="5">
        <f t="shared" si="18"/>
        <v>0</v>
      </c>
      <c r="BP7" s="5">
        <f t="shared" si="19"/>
        <v>0</v>
      </c>
      <c r="BQ7" s="5">
        <f t="shared" si="20"/>
        <v>0</v>
      </c>
      <c r="BR7" s="5">
        <f t="shared" si="21"/>
        <v>0</v>
      </c>
      <c r="BS7" s="5">
        <f t="shared" si="22"/>
        <v>0</v>
      </c>
      <c r="BT7" s="5">
        <f t="shared" si="23"/>
        <v>0</v>
      </c>
      <c r="BU7" s="5">
        <f t="shared" si="40"/>
        <v>0</v>
      </c>
      <c r="BV7" s="5">
        <f t="shared" si="24"/>
        <v>0</v>
      </c>
      <c r="BW7" s="5">
        <f t="shared" si="25"/>
        <v>0</v>
      </c>
      <c r="BX7" s="5">
        <f t="shared" si="26"/>
        <v>0</v>
      </c>
      <c r="BY7" s="5">
        <f t="shared" si="27"/>
        <v>0</v>
      </c>
      <c r="BZ7" s="5">
        <f t="shared" si="28"/>
        <v>0</v>
      </c>
      <c r="CA7" s="5">
        <f t="shared" si="29"/>
        <v>0</v>
      </c>
      <c r="CB7" s="5">
        <f t="shared" si="30"/>
        <v>0</v>
      </c>
      <c r="CC7" s="5">
        <f t="shared" si="31"/>
        <v>0</v>
      </c>
      <c r="CD7" s="5">
        <f t="shared" si="32"/>
        <v>0</v>
      </c>
      <c r="CE7" s="5">
        <f t="shared" si="33"/>
        <v>0</v>
      </c>
      <c r="CF7" s="5">
        <f t="shared" si="34"/>
        <v>0</v>
      </c>
    </row>
    <row r="8" spans="2:84" s="4" customFormat="1" x14ac:dyDescent="0.2">
      <c r="B8" s="2"/>
      <c r="C8" s="4" t="s">
        <v>92</v>
      </c>
      <c r="E8" s="13"/>
      <c r="F8" s="45"/>
      <c r="G8" s="8">
        <f t="shared" si="35"/>
        <v>0</v>
      </c>
      <c r="H8" s="13"/>
      <c r="I8" s="45"/>
      <c r="J8" s="8">
        <f t="shared" ref="J8:J14" si="42">I8-H8</f>
        <v>0</v>
      </c>
      <c r="K8" s="13"/>
      <c r="L8" s="14"/>
      <c r="M8" s="8">
        <f t="shared" si="0"/>
        <v>0</v>
      </c>
      <c r="N8" s="35"/>
      <c r="O8" s="45"/>
      <c r="P8" s="8">
        <f t="shared" si="1"/>
        <v>0</v>
      </c>
      <c r="Q8" s="35"/>
      <c r="R8" s="45"/>
      <c r="S8" s="8">
        <f t="shared" si="2"/>
        <v>0</v>
      </c>
      <c r="T8" s="35"/>
      <c r="U8" s="14"/>
      <c r="V8" s="8">
        <f t="shared" si="3"/>
        <v>0</v>
      </c>
      <c r="W8" s="35"/>
      <c r="X8" s="45"/>
      <c r="Y8" s="8">
        <f t="shared" si="4"/>
        <v>0</v>
      </c>
      <c r="Z8" s="35"/>
      <c r="AA8" s="45"/>
      <c r="AB8" s="8">
        <f t="shared" si="5"/>
        <v>0</v>
      </c>
      <c r="AC8" s="35"/>
      <c r="AD8" s="45"/>
      <c r="AE8" s="8">
        <f t="shared" si="6"/>
        <v>0</v>
      </c>
      <c r="AF8" s="35"/>
      <c r="AG8" s="45"/>
      <c r="AH8" s="8">
        <f t="shared" si="7"/>
        <v>0</v>
      </c>
      <c r="AI8" s="13"/>
      <c r="AJ8" s="45"/>
      <c r="AK8" s="8">
        <f t="shared" si="8"/>
        <v>0</v>
      </c>
      <c r="AL8" s="13"/>
      <c r="AM8" s="45"/>
      <c r="AN8" s="8">
        <f t="shared" si="9"/>
        <v>0</v>
      </c>
      <c r="AO8" s="98">
        <f t="shared" si="10"/>
        <v>0</v>
      </c>
      <c r="AP8" s="80">
        <f t="shared" si="11"/>
        <v>0</v>
      </c>
      <c r="AQ8" s="22">
        <f t="shared" ref="AQ8:AQ14" si="43">AP8-AO8</f>
        <v>0</v>
      </c>
      <c r="AR8" s="7" t="str">
        <f t="shared" si="12"/>
        <v>LØNNINGER MV. I ALT</v>
      </c>
      <c r="AT8" s="22"/>
      <c r="AU8" s="88">
        <f t="shared" ref="AU8:AU14" si="44">INDEX(AW8:BH8,1,$I$1)</f>
        <v>0</v>
      </c>
      <c r="AV8" s="22">
        <f t="shared" ref="AV8:AV14" si="45">AU8-AT8</f>
        <v>0</v>
      </c>
      <c r="AW8" s="4">
        <f t="shared" ref="AW8:AW14" si="46">AL8+AI8+AF8+AC8+Z8+W8+T8+Q8+N8+K8+H8+F8</f>
        <v>0</v>
      </c>
      <c r="AX8" s="4">
        <f t="shared" ref="AX8:AX14" si="47">AL8+AI8+AF8+AC8+Z8+W8+T8+Q8+N8+K8+I8+F8</f>
        <v>0</v>
      </c>
      <c r="AY8" s="4">
        <f t="shared" ref="AY8:AY14" si="48">AL8+AI8+AF8+AC8+Z8+W8+T8+Q8+N8+L8+I8+F8</f>
        <v>0</v>
      </c>
      <c r="AZ8" s="4">
        <f t="shared" ref="AZ8:AZ14" si="49">AL8+AI8+AF8+AC8+Z8+W8+T8+Q8+O8+L8+I8+F8</f>
        <v>0</v>
      </c>
      <c r="BA8" s="4">
        <f t="shared" ref="BA8:BA14" si="50">AL8+AI8+AF8+AC8+Z8+W8+T8+R8+O8+L8+I8+F8</f>
        <v>0</v>
      </c>
      <c r="BB8" s="4">
        <f t="shared" ref="BB8:BB14" si="51">AL8+AI8+AF8+AC8+Z8+W8+U8+R8+O8+L8+I8+F8</f>
        <v>0</v>
      </c>
      <c r="BC8" s="4">
        <f t="shared" ref="BC8:BC14" si="52">AL8+AI8+AF8+AC8+Z8+X8+U8+R8+O8+L8+I8+F8</f>
        <v>0</v>
      </c>
      <c r="BD8" s="4">
        <f t="shared" ref="BD8:BD14" si="53">AL8+AI8+AF8+AC8+AA8+X8+U8+R8+O8+L8+I8+F8</f>
        <v>0</v>
      </c>
      <c r="BE8" s="4">
        <f t="shared" ref="BE8:BE14" si="54">AL8+AI8+AF8+AD8+AA8+X8+U8+R8+O8+L8+I8+F8</f>
        <v>0</v>
      </c>
      <c r="BF8" s="4">
        <f t="shared" ref="BF8:BF14" si="55">AL8+AI8+AG8+AD8+AA8+X8+U8+R8+O8+L8+I8+F8</f>
        <v>0</v>
      </c>
      <c r="BG8" s="4">
        <f t="shared" ref="BG8:BG14" si="56">AL8+AJ8+AG8+AD8+AA8+X8+U8+R8+O8+L8+I8+F8</f>
        <v>0</v>
      </c>
      <c r="BH8" s="4">
        <f t="shared" ref="BH8:BH14" si="57">AM8+AJ8+AG8+AD8+AA8+X8+U8+R8+O8+L8+I8+F8</f>
        <v>0</v>
      </c>
      <c r="BI8" s="4">
        <f t="shared" si="39"/>
        <v>0</v>
      </c>
      <c r="BJ8" s="4">
        <f t="shared" si="13"/>
        <v>0</v>
      </c>
      <c r="BK8" s="4">
        <f t="shared" si="14"/>
        <v>0</v>
      </c>
      <c r="BL8" s="4">
        <f t="shared" si="15"/>
        <v>0</v>
      </c>
      <c r="BM8" s="4">
        <f t="shared" si="16"/>
        <v>0</v>
      </c>
      <c r="BN8" s="4">
        <f t="shared" si="17"/>
        <v>0</v>
      </c>
      <c r="BO8" s="4">
        <f t="shared" si="18"/>
        <v>0</v>
      </c>
      <c r="BP8" s="4">
        <f t="shared" si="19"/>
        <v>0</v>
      </c>
      <c r="BQ8" s="4">
        <f t="shared" si="20"/>
        <v>0</v>
      </c>
      <c r="BR8" s="4">
        <f t="shared" si="21"/>
        <v>0</v>
      </c>
      <c r="BS8" s="4">
        <f t="shared" si="22"/>
        <v>0</v>
      </c>
      <c r="BT8" s="4">
        <f t="shared" si="23"/>
        <v>0</v>
      </c>
      <c r="BU8" s="4">
        <f t="shared" si="40"/>
        <v>0</v>
      </c>
      <c r="BV8" s="4">
        <f t="shared" si="24"/>
        <v>0</v>
      </c>
      <c r="BW8" s="4">
        <f t="shared" si="25"/>
        <v>0</v>
      </c>
      <c r="BX8" s="4">
        <f t="shared" si="26"/>
        <v>0</v>
      </c>
      <c r="BY8" s="4">
        <f t="shared" si="27"/>
        <v>0</v>
      </c>
      <c r="BZ8" s="4">
        <f t="shared" si="28"/>
        <v>0</v>
      </c>
      <c r="CA8" s="4">
        <f t="shared" si="29"/>
        <v>0</v>
      </c>
      <c r="CB8" s="4">
        <f t="shared" si="30"/>
        <v>0</v>
      </c>
      <c r="CC8" s="4">
        <f t="shared" si="31"/>
        <v>0</v>
      </c>
      <c r="CD8" s="4">
        <f t="shared" si="32"/>
        <v>0</v>
      </c>
      <c r="CE8" s="4">
        <f t="shared" si="33"/>
        <v>0</v>
      </c>
      <c r="CF8" s="4">
        <f t="shared" si="34"/>
        <v>0</v>
      </c>
    </row>
    <row r="9" spans="2:84" s="4" customFormat="1" x14ac:dyDescent="0.2">
      <c r="B9" s="2"/>
      <c r="C9" s="4" t="s">
        <v>93</v>
      </c>
      <c r="D9" s="4" t="s">
        <v>3</v>
      </c>
      <c r="E9" s="13"/>
      <c r="F9" s="45"/>
      <c r="G9" s="8">
        <f t="shared" si="35"/>
        <v>0</v>
      </c>
      <c r="H9" s="13"/>
      <c r="I9" s="45"/>
      <c r="J9" s="8">
        <f t="shared" si="42"/>
        <v>0</v>
      </c>
      <c r="K9" s="13"/>
      <c r="L9" s="45"/>
      <c r="M9" s="8">
        <f t="shared" si="0"/>
        <v>0</v>
      </c>
      <c r="N9" s="13"/>
      <c r="O9" s="45"/>
      <c r="P9" s="8">
        <f t="shared" si="1"/>
        <v>0</v>
      </c>
      <c r="Q9" s="13"/>
      <c r="R9" s="45"/>
      <c r="S9" s="8">
        <f t="shared" si="2"/>
        <v>0</v>
      </c>
      <c r="T9" s="13"/>
      <c r="U9" s="45"/>
      <c r="V9" s="8">
        <f t="shared" si="3"/>
        <v>0</v>
      </c>
      <c r="W9" s="13"/>
      <c r="X9" s="45"/>
      <c r="Y9" s="8">
        <f t="shared" si="4"/>
        <v>0</v>
      </c>
      <c r="Z9" s="13"/>
      <c r="AA9" s="45"/>
      <c r="AB9" s="8">
        <f t="shared" si="5"/>
        <v>0</v>
      </c>
      <c r="AC9" s="13"/>
      <c r="AD9" s="45"/>
      <c r="AE9" s="8">
        <f t="shared" si="6"/>
        <v>0</v>
      </c>
      <c r="AF9" s="13"/>
      <c r="AG9" s="45"/>
      <c r="AH9" s="8">
        <f t="shared" si="7"/>
        <v>0</v>
      </c>
      <c r="AI9" s="13"/>
      <c r="AJ9" s="45"/>
      <c r="AK9" s="8">
        <f t="shared" si="8"/>
        <v>0</v>
      </c>
      <c r="AL9" s="13"/>
      <c r="AM9" s="45"/>
      <c r="AN9" s="8">
        <f t="shared" si="9"/>
        <v>0</v>
      </c>
      <c r="AO9" s="98">
        <f t="shared" si="10"/>
        <v>0</v>
      </c>
      <c r="AP9" s="80">
        <f t="shared" si="11"/>
        <v>0</v>
      </c>
      <c r="AQ9" s="22">
        <f t="shared" si="43"/>
        <v>0</v>
      </c>
      <c r="AR9" s="7" t="str">
        <f t="shared" si="12"/>
        <v>SALGSOMKOSTNINGER</v>
      </c>
      <c r="AT9" s="22"/>
      <c r="AU9" s="88">
        <f t="shared" si="44"/>
        <v>0</v>
      </c>
      <c r="AV9" s="22">
        <f t="shared" si="45"/>
        <v>0</v>
      </c>
      <c r="AW9" s="4">
        <f t="shared" si="46"/>
        <v>0</v>
      </c>
      <c r="AX9" s="4">
        <f t="shared" si="47"/>
        <v>0</v>
      </c>
      <c r="AY9" s="4">
        <f t="shared" si="48"/>
        <v>0</v>
      </c>
      <c r="AZ9" s="4">
        <f t="shared" si="49"/>
        <v>0</v>
      </c>
      <c r="BA9" s="4">
        <f t="shared" si="50"/>
        <v>0</v>
      </c>
      <c r="BB9" s="4">
        <f t="shared" si="51"/>
        <v>0</v>
      </c>
      <c r="BC9" s="4">
        <f t="shared" si="52"/>
        <v>0</v>
      </c>
      <c r="BD9" s="4">
        <f t="shared" si="53"/>
        <v>0</v>
      </c>
      <c r="BE9" s="4">
        <f t="shared" si="54"/>
        <v>0</v>
      </c>
      <c r="BF9" s="4">
        <f t="shared" si="55"/>
        <v>0</v>
      </c>
      <c r="BG9" s="4">
        <f t="shared" si="56"/>
        <v>0</v>
      </c>
      <c r="BH9" s="4">
        <f t="shared" si="57"/>
        <v>0</v>
      </c>
      <c r="BI9" s="4">
        <f t="shared" si="39"/>
        <v>0</v>
      </c>
      <c r="BJ9" s="4">
        <f t="shared" si="13"/>
        <v>0</v>
      </c>
      <c r="BK9" s="4">
        <f t="shared" si="14"/>
        <v>0</v>
      </c>
      <c r="BL9" s="4">
        <f t="shared" si="15"/>
        <v>0</v>
      </c>
      <c r="BM9" s="4">
        <f t="shared" si="16"/>
        <v>0</v>
      </c>
      <c r="BN9" s="4">
        <f t="shared" si="17"/>
        <v>0</v>
      </c>
      <c r="BO9" s="4">
        <f t="shared" si="18"/>
        <v>0</v>
      </c>
      <c r="BP9" s="4">
        <f t="shared" si="19"/>
        <v>0</v>
      </c>
      <c r="BQ9" s="4">
        <f t="shared" si="20"/>
        <v>0</v>
      </c>
      <c r="BR9" s="4">
        <f t="shared" si="21"/>
        <v>0</v>
      </c>
      <c r="BS9" s="4">
        <f t="shared" si="22"/>
        <v>0</v>
      </c>
      <c r="BT9" s="4">
        <f t="shared" si="23"/>
        <v>0</v>
      </c>
      <c r="BU9" s="4">
        <f t="shared" si="40"/>
        <v>0</v>
      </c>
      <c r="BV9" s="4">
        <f t="shared" si="24"/>
        <v>0</v>
      </c>
      <c r="BW9" s="4">
        <f t="shared" si="25"/>
        <v>0</v>
      </c>
      <c r="BX9" s="4">
        <f t="shared" si="26"/>
        <v>0</v>
      </c>
      <c r="BY9" s="4">
        <f t="shared" si="27"/>
        <v>0</v>
      </c>
      <c r="BZ9" s="4">
        <f t="shared" si="28"/>
        <v>0</v>
      </c>
      <c r="CA9" s="4">
        <f t="shared" si="29"/>
        <v>0</v>
      </c>
      <c r="CB9" s="4">
        <f t="shared" si="30"/>
        <v>0</v>
      </c>
      <c r="CC9" s="4">
        <f t="shared" si="31"/>
        <v>0</v>
      </c>
      <c r="CD9" s="4">
        <f t="shared" si="32"/>
        <v>0</v>
      </c>
      <c r="CE9" s="4">
        <f t="shared" si="33"/>
        <v>0</v>
      </c>
      <c r="CF9" s="4">
        <f t="shared" si="34"/>
        <v>0</v>
      </c>
    </row>
    <row r="10" spans="2:84" s="4" customFormat="1" x14ac:dyDescent="0.2">
      <c r="B10" s="2"/>
      <c r="C10" s="4" t="s">
        <v>94</v>
      </c>
      <c r="D10" s="4" t="s">
        <v>3</v>
      </c>
      <c r="E10" s="13"/>
      <c r="F10" s="45"/>
      <c r="G10" s="8">
        <f t="shared" si="35"/>
        <v>0</v>
      </c>
      <c r="H10" s="13"/>
      <c r="I10" s="45"/>
      <c r="J10" s="8">
        <f t="shared" si="42"/>
        <v>0</v>
      </c>
      <c r="K10" s="13"/>
      <c r="L10" s="45"/>
      <c r="M10" s="8">
        <f t="shared" si="0"/>
        <v>0</v>
      </c>
      <c r="N10" s="13"/>
      <c r="O10" s="45"/>
      <c r="P10" s="8">
        <f t="shared" si="1"/>
        <v>0</v>
      </c>
      <c r="Q10" s="13"/>
      <c r="R10" s="45"/>
      <c r="S10" s="8">
        <f t="shared" si="2"/>
        <v>0</v>
      </c>
      <c r="T10" s="13"/>
      <c r="U10" s="45"/>
      <c r="V10" s="8">
        <f t="shared" si="3"/>
        <v>0</v>
      </c>
      <c r="W10" s="13"/>
      <c r="X10" s="45"/>
      <c r="Y10" s="8">
        <f t="shared" si="4"/>
        <v>0</v>
      </c>
      <c r="Z10" s="13"/>
      <c r="AA10" s="45"/>
      <c r="AB10" s="8">
        <f t="shared" si="5"/>
        <v>0</v>
      </c>
      <c r="AC10" s="13"/>
      <c r="AD10" s="45"/>
      <c r="AE10" s="8">
        <f t="shared" si="6"/>
        <v>0</v>
      </c>
      <c r="AF10" s="13"/>
      <c r="AG10" s="45"/>
      <c r="AH10" s="8">
        <f t="shared" si="7"/>
        <v>0</v>
      </c>
      <c r="AI10" s="13"/>
      <c r="AJ10" s="45"/>
      <c r="AK10" s="8">
        <f t="shared" si="8"/>
        <v>0</v>
      </c>
      <c r="AL10" s="13"/>
      <c r="AM10" s="45"/>
      <c r="AN10" s="8">
        <f t="shared" si="9"/>
        <v>0</v>
      </c>
      <c r="AO10" s="98">
        <f t="shared" si="10"/>
        <v>0</v>
      </c>
      <c r="AP10" s="80">
        <f t="shared" si="11"/>
        <v>0</v>
      </c>
      <c r="AQ10" s="22">
        <f t="shared" si="43"/>
        <v>0</v>
      </c>
      <c r="AR10" s="7" t="str">
        <f t="shared" si="12"/>
        <v>LOKALEOMKOSTNINGER</v>
      </c>
      <c r="AT10" s="22"/>
      <c r="AU10" s="88">
        <f t="shared" si="44"/>
        <v>0</v>
      </c>
      <c r="AV10" s="22">
        <f t="shared" si="45"/>
        <v>0</v>
      </c>
      <c r="AW10" s="4">
        <f t="shared" si="46"/>
        <v>0</v>
      </c>
      <c r="AX10" s="4">
        <f t="shared" si="47"/>
        <v>0</v>
      </c>
      <c r="AY10" s="4">
        <f t="shared" si="48"/>
        <v>0</v>
      </c>
      <c r="AZ10" s="4">
        <f t="shared" si="49"/>
        <v>0</v>
      </c>
      <c r="BA10" s="4">
        <f t="shared" si="50"/>
        <v>0</v>
      </c>
      <c r="BB10" s="4">
        <f t="shared" si="51"/>
        <v>0</v>
      </c>
      <c r="BC10" s="4">
        <f t="shared" si="52"/>
        <v>0</v>
      </c>
      <c r="BD10" s="4">
        <f t="shared" si="53"/>
        <v>0</v>
      </c>
      <c r="BE10" s="4">
        <f t="shared" si="54"/>
        <v>0</v>
      </c>
      <c r="BF10" s="4">
        <f t="shared" si="55"/>
        <v>0</v>
      </c>
      <c r="BG10" s="4">
        <f t="shared" si="56"/>
        <v>0</v>
      </c>
      <c r="BH10" s="4">
        <f t="shared" si="57"/>
        <v>0</v>
      </c>
      <c r="BI10" s="4">
        <f t="shared" si="39"/>
        <v>0</v>
      </c>
      <c r="BJ10" s="4">
        <f t="shared" si="13"/>
        <v>0</v>
      </c>
      <c r="BK10" s="4">
        <f t="shared" si="14"/>
        <v>0</v>
      </c>
      <c r="BL10" s="4">
        <f t="shared" si="15"/>
        <v>0</v>
      </c>
      <c r="BM10" s="4">
        <f t="shared" si="16"/>
        <v>0</v>
      </c>
      <c r="BN10" s="4">
        <f t="shared" si="17"/>
        <v>0</v>
      </c>
      <c r="BO10" s="4">
        <f t="shared" si="18"/>
        <v>0</v>
      </c>
      <c r="BP10" s="4">
        <f t="shared" si="19"/>
        <v>0</v>
      </c>
      <c r="BQ10" s="4">
        <f t="shared" si="20"/>
        <v>0</v>
      </c>
      <c r="BR10" s="4">
        <f t="shared" si="21"/>
        <v>0</v>
      </c>
      <c r="BS10" s="4">
        <f t="shared" si="22"/>
        <v>0</v>
      </c>
      <c r="BT10" s="4">
        <f t="shared" si="23"/>
        <v>0</v>
      </c>
      <c r="BU10" s="4">
        <f t="shared" si="40"/>
        <v>0</v>
      </c>
      <c r="BV10" s="4">
        <f t="shared" si="24"/>
        <v>0</v>
      </c>
      <c r="BW10" s="4">
        <f t="shared" si="25"/>
        <v>0</v>
      </c>
      <c r="BX10" s="4">
        <f t="shared" si="26"/>
        <v>0</v>
      </c>
      <c r="BY10" s="4">
        <f t="shared" si="27"/>
        <v>0</v>
      </c>
      <c r="BZ10" s="4">
        <f t="shared" si="28"/>
        <v>0</v>
      </c>
      <c r="CA10" s="4">
        <f t="shared" si="29"/>
        <v>0</v>
      </c>
      <c r="CB10" s="4">
        <f t="shared" si="30"/>
        <v>0</v>
      </c>
      <c r="CC10" s="4">
        <f t="shared" si="31"/>
        <v>0</v>
      </c>
      <c r="CD10" s="4">
        <f t="shared" si="32"/>
        <v>0</v>
      </c>
      <c r="CE10" s="4">
        <f t="shared" si="33"/>
        <v>0</v>
      </c>
      <c r="CF10" s="4">
        <f t="shared" si="34"/>
        <v>0</v>
      </c>
    </row>
    <row r="11" spans="2:84" s="4" customFormat="1" x14ac:dyDescent="0.2">
      <c r="B11" s="2"/>
      <c r="C11" s="4" t="s">
        <v>95</v>
      </c>
      <c r="D11" s="4" t="s">
        <v>3</v>
      </c>
      <c r="E11" s="13"/>
      <c r="F11" s="45"/>
      <c r="G11" s="8">
        <f t="shared" si="35"/>
        <v>0</v>
      </c>
      <c r="H11" s="13"/>
      <c r="I11" s="45"/>
      <c r="J11" s="8">
        <f t="shared" si="42"/>
        <v>0</v>
      </c>
      <c r="K11" s="13"/>
      <c r="L11" s="45"/>
      <c r="M11" s="8">
        <f t="shared" si="0"/>
        <v>0</v>
      </c>
      <c r="N11" s="13"/>
      <c r="O11" s="45"/>
      <c r="P11" s="8">
        <f t="shared" si="1"/>
        <v>0</v>
      </c>
      <c r="Q11" s="13"/>
      <c r="R11" s="45"/>
      <c r="S11" s="8">
        <f t="shared" si="2"/>
        <v>0</v>
      </c>
      <c r="T11" s="13"/>
      <c r="U11" s="45"/>
      <c r="V11" s="8">
        <f t="shared" si="3"/>
        <v>0</v>
      </c>
      <c r="W11" s="13"/>
      <c r="X11" s="45"/>
      <c r="Y11" s="8">
        <f t="shared" si="4"/>
        <v>0</v>
      </c>
      <c r="Z11" s="13"/>
      <c r="AA11" s="45"/>
      <c r="AB11" s="8">
        <f t="shared" si="5"/>
        <v>0</v>
      </c>
      <c r="AC11" s="13"/>
      <c r="AD11" s="45"/>
      <c r="AE11" s="8">
        <f t="shared" si="6"/>
        <v>0</v>
      </c>
      <c r="AF11" s="13"/>
      <c r="AG11" s="45"/>
      <c r="AH11" s="8">
        <f t="shared" si="7"/>
        <v>0</v>
      </c>
      <c r="AI11" s="13"/>
      <c r="AJ11" s="45"/>
      <c r="AK11" s="8">
        <f t="shared" si="8"/>
        <v>0</v>
      </c>
      <c r="AL11" s="13"/>
      <c r="AM11" s="45"/>
      <c r="AN11" s="8">
        <f t="shared" si="9"/>
        <v>0</v>
      </c>
      <c r="AO11" s="98">
        <f t="shared" si="10"/>
        <v>0</v>
      </c>
      <c r="AP11" s="80">
        <f t="shared" si="11"/>
        <v>0</v>
      </c>
      <c r="AQ11" s="22">
        <f t="shared" si="43"/>
        <v>0</v>
      </c>
      <c r="AR11" s="7" t="str">
        <f t="shared" si="12"/>
        <v>TRANSPORTOMKOSTNINGER</v>
      </c>
      <c r="AT11" s="22"/>
      <c r="AU11" s="88">
        <f t="shared" si="44"/>
        <v>0</v>
      </c>
      <c r="AV11" s="22">
        <f t="shared" si="45"/>
        <v>0</v>
      </c>
      <c r="AW11" s="4">
        <f t="shared" si="46"/>
        <v>0</v>
      </c>
      <c r="AX11" s="4">
        <f t="shared" si="47"/>
        <v>0</v>
      </c>
      <c r="AY11" s="4">
        <f t="shared" si="48"/>
        <v>0</v>
      </c>
      <c r="AZ11" s="4">
        <f t="shared" si="49"/>
        <v>0</v>
      </c>
      <c r="BA11" s="4">
        <f t="shared" si="50"/>
        <v>0</v>
      </c>
      <c r="BB11" s="4">
        <f t="shared" si="51"/>
        <v>0</v>
      </c>
      <c r="BC11" s="4">
        <f t="shared" si="52"/>
        <v>0</v>
      </c>
      <c r="BD11" s="4">
        <f t="shared" si="53"/>
        <v>0</v>
      </c>
      <c r="BE11" s="4">
        <f t="shared" si="54"/>
        <v>0</v>
      </c>
      <c r="BF11" s="4">
        <f t="shared" si="55"/>
        <v>0</v>
      </c>
      <c r="BG11" s="4">
        <f t="shared" si="56"/>
        <v>0</v>
      </c>
      <c r="BH11" s="4">
        <f t="shared" si="57"/>
        <v>0</v>
      </c>
      <c r="BI11" s="4">
        <f t="shared" si="39"/>
        <v>0</v>
      </c>
      <c r="BJ11" s="4">
        <f t="shared" si="13"/>
        <v>0</v>
      </c>
      <c r="BK11" s="4">
        <f t="shared" si="14"/>
        <v>0</v>
      </c>
      <c r="BL11" s="4">
        <f t="shared" si="15"/>
        <v>0</v>
      </c>
      <c r="BM11" s="4">
        <f t="shared" si="16"/>
        <v>0</v>
      </c>
      <c r="BN11" s="4">
        <f t="shared" si="17"/>
        <v>0</v>
      </c>
      <c r="BO11" s="4">
        <f t="shared" si="18"/>
        <v>0</v>
      </c>
      <c r="BP11" s="4">
        <f t="shared" si="19"/>
        <v>0</v>
      </c>
      <c r="BQ11" s="4">
        <f t="shared" si="20"/>
        <v>0</v>
      </c>
      <c r="BR11" s="4">
        <f t="shared" si="21"/>
        <v>0</v>
      </c>
      <c r="BS11" s="4">
        <f t="shared" si="22"/>
        <v>0</v>
      </c>
      <c r="BT11" s="4">
        <f t="shared" si="23"/>
        <v>0</v>
      </c>
      <c r="BU11" s="4">
        <f t="shared" si="40"/>
        <v>0</v>
      </c>
      <c r="BV11" s="4">
        <f t="shared" si="24"/>
        <v>0</v>
      </c>
      <c r="BW11" s="4">
        <f t="shared" si="25"/>
        <v>0</v>
      </c>
      <c r="BX11" s="4">
        <f t="shared" si="26"/>
        <v>0</v>
      </c>
      <c r="BY11" s="4">
        <f t="shared" si="27"/>
        <v>0</v>
      </c>
      <c r="BZ11" s="4">
        <f t="shared" si="28"/>
        <v>0</v>
      </c>
      <c r="CA11" s="4">
        <f t="shared" si="29"/>
        <v>0</v>
      </c>
      <c r="CB11" s="4">
        <f t="shared" si="30"/>
        <v>0</v>
      </c>
      <c r="CC11" s="4">
        <f t="shared" si="31"/>
        <v>0</v>
      </c>
      <c r="CD11" s="4">
        <f t="shared" si="32"/>
        <v>0</v>
      </c>
      <c r="CE11" s="4">
        <f t="shared" si="33"/>
        <v>0</v>
      </c>
      <c r="CF11" s="4">
        <f t="shared" si="34"/>
        <v>0</v>
      </c>
    </row>
    <row r="12" spans="2:84" s="4" customFormat="1" x14ac:dyDescent="0.2">
      <c r="B12" s="2"/>
      <c r="C12" s="4" t="s">
        <v>96</v>
      </c>
      <c r="D12" s="4" t="s">
        <v>3</v>
      </c>
      <c r="E12" s="13"/>
      <c r="F12" s="45"/>
      <c r="G12" s="8">
        <f t="shared" si="35"/>
        <v>0</v>
      </c>
      <c r="H12" s="13"/>
      <c r="I12" s="45"/>
      <c r="J12" s="8">
        <f t="shared" si="42"/>
        <v>0</v>
      </c>
      <c r="K12" s="13"/>
      <c r="L12" s="45"/>
      <c r="M12" s="8">
        <f t="shared" si="0"/>
        <v>0</v>
      </c>
      <c r="N12" s="13"/>
      <c r="O12" s="45"/>
      <c r="P12" s="8">
        <f t="shared" si="1"/>
        <v>0</v>
      </c>
      <c r="Q12" s="13"/>
      <c r="R12" s="45"/>
      <c r="S12" s="8">
        <f t="shared" si="2"/>
        <v>0</v>
      </c>
      <c r="T12" s="13"/>
      <c r="U12" s="45"/>
      <c r="V12" s="8">
        <f t="shared" si="3"/>
        <v>0</v>
      </c>
      <c r="W12" s="13"/>
      <c r="X12" s="45"/>
      <c r="Y12" s="8">
        <f t="shared" si="4"/>
        <v>0</v>
      </c>
      <c r="Z12" s="13"/>
      <c r="AA12" s="45"/>
      <c r="AB12" s="8">
        <f t="shared" si="5"/>
        <v>0</v>
      </c>
      <c r="AC12" s="13"/>
      <c r="AD12" s="45"/>
      <c r="AE12" s="8">
        <f t="shared" si="6"/>
        <v>0</v>
      </c>
      <c r="AF12" s="13"/>
      <c r="AG12" s="45"/>
      <c r="AH12" s="8">
        <f t="shared" si="7"/>
        <v>0</v>
      </c>
      <c r="AI12" s="13"/>
      <c r="AJ12" s="45"/>
      <c r="AK12" s="8">
        <f t="shared" si="8"/>
        <v>0</v>
      </c>
      <c r="AL12" s="13"/>
      <c r="AM12" s="45"/>
      <c r="AN12" s="8">
        <f t="shared" si="9"/>
        <v>0</v>
      </c>
      <c r="AO12" s="98">
        <f t="shared" si="10"/>
        <v>0</v>
      </c>
      <c r="AP12" s="80">
        <f t="shared" si="11"/>
        <v>0</v>
      </c>
      <c r="AQ12" s="22">
        <f t="shared" si="43"/>
        <v>0</v>
      </c>
      <c r="AR12" s="7" t="str">
        <f t="shared" si="12"/>
        <v>ADMINISTRATION</v>
      </c>
      <c r="AT12" s="22"/>
      <c r="AU12" s="88">
        <f t="shared" si="44"/>
        <v>0</v>
      </c>
      <c r="AV12" s="22">
        <f t="shared" si="45"/>
        <v>0</v>
      </c>
      <c r="AW12" s="4">
        <f t="shared" si="46"/>
        <v>0</v>
      </c>
      <c r="AX12" s="4">
        <f t="shared" si="47"/>
        <v>0</v>
      </c>
      <c r="AY12" s="4">
        <f t="shared" si="48"/>
        <v>0</v>
      </c>
      <c r="AZ12" s="4">
        <f t="shared" si="49"/>
        <v>0</v>
      </c>
      <c r="BA12" s="4">
        <f t="shared" si="50"/>
        <v>0</v>
      </c>
      <c r="BB12" s="4">
        <f t="shared" si="51"/>
        <v>0</v>
      </c>
      <c r="BC12" s="4">
        <f t="shared" si="52"/>
        <v>0</v>
      </c>
      <c r="BD12" s="4">
        <f t="shared" si="53"/>
        <v>0</v>
      </c>
      <c r="BE12" s="4">
        <f t="shared" si="54"/>
        <v>0</v>
      </c>
      <c r="BF12" s="4">
        <f t="shared" si="55"/>
        <v>0</v>
      </c>
      <c r="BG12" s="4">
        <f t="shared" si="56"/>
        <v>0</v>
      </c>
      <c r="BH12" s="4">
        <f t="shared" si="57"/>
        <v>0</v>
      </c>
      <c r="BI12" s="4">
        <f t="shared" si="39"/>
        <v>0</v>
      </c>
      <c r="BJ12" s="4">
        <f t="shared" si="13"/>
        <v>0</v>
      </c>
      <c r="BK12" s="4">
        <f t="shared" si="14"/>
        <v>0</v>
      </c>
      <c r="BL12" s="4">
        <f t="shared" si="15"/>
        <v>0</v>
      </c>
      <c r="BM12" s="4">
        <f t="shared" si="16"/>
        <v>0</v>
      </c>
      <c r="BN12" s="4">
        <f t="shared" si="17"/>
        <v>0</v>
      </c>
      <c r="BO12" s="4">
        <f t="shared" si="18"/>
        <v>0</v>
      </c>
      <c r="BP12" s="4">
        <f t="shared" si="19"/>
        <v>0</v>
      </c>
      <c r="BQ12" s="4">
        <f t="shared" si="20"/>
        <v>0</v>
      </c>
      <c r="BR12" s="4">
        <f t="shared" si="21"/>
        <v>0</v>
      </c>
      <c r="BS12" s="4">
        <f t="shared" si="22"/>
        <v>0</v>
      </c>
      <c r="BT12" s="4">
        <f t="shared" si="23"/>
        <v>0</v>
      </c>
      <c r="BU12" s="4">
        <f t="shared" si="40"/>
        <v>0</v>
      </c>
      <c r="BV12" s="4">
        <f t="shared" si="24"/>
        <v>0</v>
      </c>
      <c r="BW12" s="4">
        <f t="shared" si="25"/>
        <v>0</v>
      </c>
      <c r="BX12" s="4">
        <f t="shared" si="26"/>
        <v>0</v>
      </c>
      <c r="BY12" s="4">
        <f t="shared" si="27"/>
        <v>0</v>
      </c>
      <c r="BZ12" s="4">
        <f t="shared" si="28"/>
        <v>0</v>
      </c>
      <c r="CA12" s="4">
        <f t="shared" si="29"/>
        <v>0</v>
      </c>
      <c r="CB12" s="4">
        <f t="shared" si="30"/>
        <v>0</v>
      </c>
      <c r="CC12" s="4">
        <f t="shared" si="31"/>
        <v>0</v>
      </c>
      <c r="CD12" s="4">
        <f t="shared" si="32"/>
        <v>0</v>
      </c>
      <c r="CE12" s="4">
        <f t="shared" si="33"/>
        <v>0</v>
      </c>
      <c r="CF12" s="4">
        <f t="shared" si="34"/>
        <v>0</v>
      </c>
    </row>
    <row r="13" spans="2:84" s="4" customFormat="1" x14ac:dyDescent="0.2">
      <c r="B13" s="2"/>
      <c r="C13" s="4" t="s">
        <v>97</v>
      </c>
      <c r="D13" s="4" t="s">
        <v>3</v>
      </c>
      <c r="E13" s="13"/>
      <c r="F13" s="45"/>
      <c r="G13" s="8">
        <f t="shared" si="35"/>
        <v>0</v>
      </c>
      <c r="H13" s="13"/>
      <c r="I13" s="45"/>
      <c r="J13" s="8">
        <f t="shared" si="42"/>
        <v>0</v>
      </c>
      <c r="K13" s="13"/>
      <c r="L13" s="14"/>
      <c r="M13" s="8">
        <f t="shared" si="0"/>
        <v>0</v>
      </c>
      <c r="N13" s="13"/>
      <c r="O13" s="45"/>
      <c r="P13" s="8">
        <f t="shared" si="1"/>
        <v>0</v>
      </c>
      <c r="Q13" s="13"/>
      <c r="R13" s="45"/>
      <c r="S13" s="8">
        <f t="shared" si="2"/>
        <v>0</v>
      </c>
      <c r="T13" s="13"/>
      <c r="U13" s="14"/>
      <c r="V13" s="8">
        <f t="shared" si="3"/>
        <v>0</v>
      </c>
      <c r="W13" s="13"/>
      <c r="X13" s="45"/>
      <c r="Y13" s="8">
        <f t="shared" si="4"/>
        <v>0</v>
      </c>
      <c r="Z13" s="13"/>
      <c r="AA13" s="45"/>
      <c r="AB13" s="8">
        <f t="shared" si="5"/>
        <v>0</v>
      </c>
      <c r="AC13" s="13"/>
      <c r="AD13" s="45"/>
      <c r="AE13" s="8">
        <f t="shared" si="6"/>
        <v>0</v>
      </c>
      <c r="AF13" s="13"/>
      <c r="AG13" s="45"/>
      <c r="AH13" s="8">
        <f t="shared" si="7"/>
        <v>0</v>
      </c>
      <c r="AI13" s="13"/>
      <c r="AJ13" s="45"/>
      <c r="AK13" s="8">
        <f t="shared" si="8"/>
        <v>0</v>
      </c>
      <c r="AL13" s="13"/>
      <c r="AM13" s="45"/>
      <c r="AN13" s="8">
        <f t="shared" si="9"/>
        <v>0</v>
      </c>
      <c r="AO13" s="98">
        <f t="shared" si="10"/>
        <v>0</v>
      </c>
      <c r="AP13" s="80">
        <f t="shared" si="11"/>
        <v>0</v>
      </c>
      <c r="AQ13" s="22">
        <f t="shared" si="43"/>
        <v>0</v>
      </c>
      <c r="AR13" s="7" t="str">
        <f t="shared" si="12"/>
        <v>AFSKRIVNINGER (Småanskaffelser)</v>
      </c>
      <c r="AT13" s="22"/>
      <c r="AU13" s="88">
        <f t="shared" si="44"/>
        <v>0</v>
      </c>
      <c r="AV13" s="22">
        <f t="shared" si="45"/>
        <v>0</v>
      </c>
      <c r="AW13" s="4">
        <f t="shared" si="46"/>
        <v>0</v>
      </c>
      <c r="AX13" s="4">
        <f t="shared" si="47"/>
        <v>0</v>
      </c>
      <c r="AY13" s="4">
        <f t="shared" si="48"/>
        <v>0</v>
      </c>
      <c r="AZ13" s="4">
        <f t="shared" si="49"/>
        <v>0</v>
      </c>
      <c r="BA13" s="4">
        <f t="shared" si="50"/>
        <v>0</v>
      </c>
      <c r="BB13" s="4">
        <f t="shared" si="51"/>
        <v>0</v>
      </c>
      <c r="BC13" s="4">
        <f t="shared" si="52"/>
        <v>0</v>
      </c>
      <c r="BD13" s="4">
        <f t="shared" si="53"/>
        <v>0</v>
      </c>
      <c r="BE13" s="4">
        <f t="shared" si="54"/>
        <v>0</v>
      </c>
      <c r="BF13" s="4">
        <f t="shared" si="55"/>
        <v>0</v>
      </c>
      <c r="BG13" s="4">
        <f t="shared" si="56"/>
        <v>0</v>
      </c>
      <c r="BH13" s="4">
        <f t="shared" si="57"/>
        <v>0</v>
      </c>
      <c r="BI13" s="4">
        <f t="shared" si="39"/>
        <v>0</v>
      </c>
      <c r="BJ13" s="4">
        <f t="shared" si="13"/>
        <v>0</v>
      </c>
      <c r="BK13" s="4">
        <f t="shared" si="14"/>
        <v>0</v>
      </c>
      <c r="BL13" s="4">
        <f t="shared" si="15"/>
        <v>0</v>
      </c>
      <c r="BM13" s="4">
        <f t="shared" si="16"/>
        <v>0</v>
      </c>
      <c r="BN13" s="4">
        <f t="shared" si="17"/>
        <v>0</v>
      </c>
      <c r="BO13" s="4">
        <f t="shared" si="18"/>
        <v>0</v>
      </c>
      <c r="BP13" s="4">
        <f t="shared" si="19"/>
        <v>0</v>
      </c>
      <c r="BQ13" s="4">
        <f t="shared" si="20"/>
        <v>0</v>
      </c>
      <c r="BR13" s="4">
        <f t="shared" si="21"/>
        <v>0</v>
      </c>
      <c r="BS13" s="4">
        <f t="shared" si="22"/>
        <v>0</v>
      </c>
      <c r="BT13" s="4">
        <f t="shared" si="23"/>
        <v>0</v>
      </c>
      <c r="BU13" s="4">
        <f t="shared" si="40"/>
        <v>0</v>
      </c>
      <c r="BV13" s="4">
        <f t="shared" si="24"/>
        <v>0</v>
      </c>
      <c r="BW13" s="4">
        <f t="shared" si="25"/>
        <v>0</v>
      </c>
      <c r="BX13" s="4">
        <f t="shared" si="26"/>
        <v>0</v>
      </c>
      <c r="BY13" s="4">
        <f t="shared" si="27"/>
        <v>0</v>
      </c>
      <c r="BZ13" s="4">
        <f t="shared" si="28"/>
        <v>0</v>
      </c>
      <c r="CA13" s="4">
        <f t="shared" si="29"/>
        <v>0</v>
      </c>
      <c r="CB13" s="4">
        <f t="shared" si="30"/>
        <v>0</v>
      </c>
      <c r="CC13" s="4">
        <f t="shared" si="31"/>
        <v>0</v>
      </c>
      <c r="CD13" s="4">
        <f t="shared" si="32"/>
        <v>0</v>
      </c>
      <c r="CE13" s="4">
        <f t="shared" si="33"/>
        <v>0</v>
      </c>
      <c r="CF13" s="4">
        <f t="shared" si="34"/>
        <v>0</v>
      </c>
    </row>
    <row r="14" spans="2:84" s="4" customFormat="1" x14ac:dyDescent="0.2">
      <c r="B14" s="2"/>
      <c r="C14" s="4" t="s">
        <v>98</v>
      </c>
      <c r="E14" s="13"/>
      <c r="F14" s="45"/>
      <c r="G14" s="8">
        <f t="shared" si="35"/>
        <v>0</v>
      </c>
      <c r="H14" s="13"/>
      <c r="I14" s="45"/>
      <c r="J14" s="8">
        <f t="shared" si="42"/>
        <v>0</v>
      </c>
      <c r="K14" s="13"/>
      <c r="L14" s="14"/>
      <c r="M14" s="8">
        <f t="shared" si="0"/>
        <v>0</v>
      </c>
      <c r="N14" s="13"/>
      <c r="O14" s="45"/>
      <c r="P14" s="8">
        <f t="shared" si="1"/>
        <v>0</v>
      </c>
      <c r="Q14" s="13"/>
      <c r="R14" s="45"/>
      <c r="S14" s="8">
        <f t="shared" si="2"/>
        <v>0</v>
      </c>
      <c r="T14" s="13"/>
      <c r="U14" s="14"/>
      <c r="V14" s="8">
        <f t="shared" si="3"/>
        <v>0</v>
      </c>
      <c r="W14" s="13"/>
      <c r="X14" s="45"/>
      <c r="Y14" s="8">
        <f t="shared" si="4"/>
        <v>0</v>
      </c>
      <c r="Z14" s="13"/>
      <c r="AA14" s="45"/>
      <c r="AB14" s="8">
        <f t="shared" si="5"/>
        <v>0</v>
      </c>
      <c r="AC14" s="13"/>
      <c r="AD14" s="45"/>
      <c r="AE14" s="8">
        <f t="shared" si="6"/>
        <v>0</v>
      </c>
      <c r="AF14" s="13"/>
      <c r="AG14" s="45"/>
      <c r="AH14" s="8">
        <f t="shared" si="7"/>
        <v>0</v>
      </c>
      <c r="AI14" s="13"/>
      <c r="AJ14" s="45"/>
      <c r="AK14" s="8">
        <f t="shared" si="8"/>
        <v>0</v>
      </c>
      <c r="AL14" s="13"/>
      <c r="AM14" s="45"/>
      <c r="AN14" s="8">
        <f t="shared" si="9"/>
        <v>0</v>
      </c>
      <c r="AO14" s="98">
        <f t="shared" si="10"/>
        <v>0</v>
      </c>
      <c r="AP14" s="80">
        <f t="shared" si="11"/>
        <v>0</v>
      </c>
      <c r="AQ14" s="22">
        <f t="shared" si="43"/>
        <v>0</v>
      </c>
      <c r="AR14" s="7" t="str">
        <f t="shared" si="12"/>
        <v>RENTEUDGIFTER</v>
      </c>
      <c r="AT14" s="22"/>
      <c r="AU14" s="88">
        <f t="shared" si="44"/>
        <v>0</v>
      </c>
      <c r="AV14" s="22">
        <f t="shared" si="45"/>
        <v>0</v>
      </c>
      <c r="AW14" s="4">
        <f t="shared" si="46"/>
        <v>0</v>
      </c>
      <c r="AX14" s="4">
        <f t="shared" si="47"/>
        <v>0</v>
      </c>
      <c r="AY14" s="4">
        <f t="shared" si="48"/>
        <v>0</v>
      </c>
      <c r="AZ14" s="4">
        <f t="shared" si="49"/>
        <v>0</v>
      </c>
      <c r="BA14" s="4">
        <f t="shared" si="50"/>
        <v>0</v>
      </c>
      <c r="BB14" s="4">
        <f t="shared" si="51"/>
        <v>0</v>
      </c>
      <c r="BC14" s="4">
        <f t="shared" si="52"/>
        <v>0</v>
      </c>
      <c r="BD14" s="4">
        <f t="shared" si="53"/>
        <v>0</v>
      </c>
      <c r="BE14" s="4">
        <f t="shared" si="54"/>
        <v>0</v>
      </c>
      <c r="BF14" s="4">
        <f t="shared" si="55"/>
        <v>0</v>
      </c>
      <c r="BG14" s="4">
        <f t="shared" si="56"/>
        <v>0</v>
      </c>
      <c r="BH14" s="4">
        <f t="shared" si="57"/>
        <v>0</v>
      </c>
      <c r="BI14" s="4">
        <f t="shared" si="39"/>
        <v>0</v>
      </c>
      <c r="BJ14" s="4">
        <f t="shared" si="13"/>
        <v>0</v>
      </c>
      <c r="BK14" s="4">
        <f t="shared" si="14"/>
        <v>0</v>
      </c>
      <c r="BL14" s="4">
        <f t="shared" si="15"/>
        <v>0</v>
      </c>
      <c r="BM14" s="4">
        <f t="shared" si="16"/>
        <v>0</v>
      </c>
      <c r="BN14" s="4">
        <f t="shared" si="17"/>
        <v>0</v>
      </c>
      <c r="BO14" s="4">
        <f t="shared" si="18"/>
        <v>0</v>
      </c>
      <c r="BP14" s="4">
        <f t="shared" si="19"/>
        <v>0</v>
      </c>
      <c r="BQ14" s="4">
        <f t="shared" si="20"/>
        <v>0</v>
      </c>
      <c r="BR14" s="4">
        <f t="shared" si="21"/>
        <v>0</v>
      </c>
      <c r="BS14" s="4">
        <f t="shared" si="22"/>
        <v>0</v>
      </c>
      <c r="BT14" s="4">
        <f t="shared" si="23"/>
        <v>0</v>
      </c>
      <c r="BU14" s="4">
        <f t="shared" si="40"/>
        <v>0</v>
      </c>
      <c r="BV14" s="4">
        <f t="shared" si="24"/>
        <v>0</v>
      </c>
      <c r="BW14" s="4">
        <f t="shared" si="25"/>
        <v>0</v>
      </c>
      <c r="BX14" s="4">
        <f t="shared" si="26"/>
        <v>0</v>
      </c>
      <c r="BY14" s="4">
        <f t="shared" si="27"/>
        <v>0</v>
      </c>
      <c r="BZ14" s="4">
        <f t="shared" si="28"/>
        <v>0</v>
      </c>
      <c r="CA14" s="4">
        <f t="shared" si="29"/>
        <v>0</v>
      </c>
      <c r="CB14" s="4">
        <f t="shared" si="30"/>
        <v>0</v>
      </c>
      <c r="CC14" s="4">
        <f t="shared" si="31"/>
        <v>0</v>
      </c>
      <c r="CD14" s="4">
        <f t="shared" si="32"/>
        <v>0</v>
      </c>
      <c r="CE14" s="4">
        <f t="shared" si="33"/>
        <v>0</v>
      </c>
      <c r="CF14" s="4">
        <f t="shared" si="34"/>
        <v>0</v>
      </c>
    </row>
    <row r="15" spans="2:84" s="5" customFormat="1" x14ac:dyDescent="0.2">
      <c r="B15" s="10"/>
      <c r="C15" s="6" t="s">
        <v>105</v>
      </c>
      <c r="D15" s="6"/>
      <c r="E15" s="11">
        <f t="shared" ref="E15:AP15" si="58">SUM(E7:E14)</f>
        <v>0</v>
      </c>
      <c r="F15" s="6">
        <f t="shared" si="58"/>
        <v>0</v>
      </c>
      <c r="G15" s="12">
        <f t="shared" si="58"/>
        <v>0</v>
      </c>
      <c r="H15" s="11">
        <f t="shared" si="58"/>
        <v>0</v>
      </c>
      <c r="I15" s="6">
        <f t="shared" si="58"/>
        <v>0</v>
      </c>
      <c r="J15" s="12">
        <f t="shared" si="58"/>
        <v>0</v>
      </c>
      <c r="K15" s="11">
        <f t="shared" si="58"/>
        <v>0</v>
      </c>
      <c r="L15" s="6">
        <f t="shared" si="58"/>
        <v>0</v>
      </c>
      <c r="M15" s="12">
        <f t="shared" si="58"/>
        <v>0</v>
      </c>
      <c r="N15" s="11">
        <f t="shared" si="58"/>
        <v>0</v>
      </c>
      <c r="O15" s="6">
        <f t="shared" si="58"/>
        <v>0</v>
      </c>
      <c r="P15" s="12">
        <f t="shared" si="58"/>
        <v>0</v>
      </c>
      <c r="Q15" s="11">
        <f t="shared" si="58"/>
        <v>0</v>
      </c>
      <c r="R15" s="6">
        <f t="shared" si="58"/>
        <v>0</v>
      </c>
      <c r="S15" s="12">
        <f t="shared" si="58"/>
        <v>0</v>
      </c>
      <c r="T15" s="11">
        <f t="shared" si="58"/>
        <v>0</v>
      </c>
      <c r="U15" s="6">
        <f t="shared" si="58"/>
        <v>0</v>
      </c>
      <c r="V15" s="12">
        <f t="shared" si="58"/>
        <v>0</v>
      </c>
      <c r="W15" s="11">
        <f t="shared" si="58"/>
        <v>0</v>
      </c>
      <c r="X15" s="6">
        <f t="shared" si="58"/>
        <v>0</v>
      </c>
      <c r="Y15" s="12">
        <f t="shared" si="58"/>
        <v>0</v>
      </c>
      <c r="Z15" s="11">
        <f t="shared" si="58"/>
        <v>0</v>
      </c>
      <c r="AA15" s="6">
        <f>SUM(AA7:AA14)</f>
        <v>0</v>
      </c>
      <c r="AB15" s="12">
        <f t="shared" si="58"/>
        <v>0</v>
      </c>
      <c r="AC15" s="11">
        <f t="shared" si="58"/>
        <v>0</v>
      </c>
      <c r="AD15" s="6">
        <f t="shared" si="58"/>
        <v>0</v>
      </c>
      <c r="AE15" s="12">
        <f t="shared" si="58"/>
        <v>0</v>
      </c>
      <c r="AF15" s="11">
        <f t="shared" si="58"/>
        <v>0</v>
      </c>
      <c r="AG15" s="6">
        <f t="shared" si="58"/>
        <v>0</v>
      </c>
      <c r="AH15" s="12">
        <f t="shared" si="58"/>
        <v>0</v>
      </c>
      <c r="AI15" s="11">
        <f t="shared" si="58"/>
        <v>0</v>
      </c>
      <c r="AJ15" s="6">
        <f t="shared" si="58"/>
        <v>0</v>
      </c>
      <c r="AK15" s="12">
        <f t="shared" si="58"/>
        <v>0</v>
      </c>
      <c r="AL15" s="11">
        <f t="shared" si="58"/>
        <v>0</v>
      </c>
      <c r="AM15" s="6">
        <f t="shared" si="58"/>
        <v>0</v>
      </c>
      <c r="AN15" s="12">
        <f t="shared" si="58"/>
        <v>0</v>
      </c>
      <c r="AO15" s="76">
        <f t="shared" si="58"/>
        <v>0</v>
      </c>
      <c r="AP15" s="78">
        <f t="shared" si="58"/>
        <v>0</v>
      </c>
      <c r="AQ15" s="11">
        <f>SUM(AQ7:AQ14)</f>
        <v>0</v>
      </c>
      <c r="AR15" s="11" t="str">
        <f>C15</f>
        <v>RESULTAT</v>
      </c>
      <c r="AS15" s="6"/>
      <c r="AT15" s="17">
        <f>SUM(AT7:AT14)</f>
        <v>0</v>
      </c>
      <c r="AU15" s="89">
        <f>SUM(AU7:AU14)</f>
        <v>0</v>
      </c>
      <c r="AV15" s="17">
        <f>SUM(AV7:AV14)</f>
        <v>0</v>
      </c>
      <c r="AW15" s="11">
        <f>SUM(AW7:AW14)</f>
        <v>0</v>
      </c>
      <c r="AX15" s="6">
        <f>SUM(AX7:AX14)</f>
        <v>0</v>
      </c>
      <c r="AY15" s="6">
        <f t="shared" ref="AY15:BH15" si="59">SUM(AY7:AY14)</f>
        <v>0</v>
      </c>
      <c r="AZ15" s="6">
        <f t="shared" si="59"/>
        <v>0</v>
      </c>
      <c r="BA15" s="6">
        <f t="shared" si="59"/>
        <v>0</v>
      </c>
      <c r="BB15" s="6">
        <f t="shared" si="59"/>
        <v>0</v>
      </c>
      <c r="BC15" s="6">
        <f t="shared" si="59"/>
        <v>0</v>
      </c>
      <c r="BD15" s="6">
        <f t="shared" si="59"/>
        <v>0</v>
      </c>
      <c r="BE15" s="6">
        <f t="shared" si="59"/>
        <v>0</v>
      </c>
      <c r="BF15" s="6">
        <f t="shared" si="59"/>
        <v>0</v>
      </c>
      <c r="BG15" s="6">
        <f t="shared" si="59"/>
        <v>0</v>
      </c>
      <c r="BH15" s="6">
        <f t="shared" si="59"/>
        <v>0</v>
      </c>
      <c r="BI15" s="6">
        <f t="shared" si="39"/>
        <v>0</v>
      </c>
      <c r="BJ15" s="6">
        <f t="shared" si="13"/>
        <v>0</v>
      </c>
      <c r="BK15" s="6">
        <f t="shared" si="14"/>
        <v>0</v>
      </c>
      <c r="BL15" s="6">
        <f t="shared" si="15"/>
        <v>0</v>
      </c>
      <c r="BM15" s="6">
        <f t="shared" si="16"/>
        <v>0</v>
      </c>
      <c r="BN15" s="6">
        <f t="shared" si="17"/>
        <v>0</v>
      </c>
      <c r="BO15" s="6">
        <f t="shared" si="18"/>
        <v>0</v>
      </c>
      <c r="BP15" s="6">
        <f t="shared" si="19"/>
        <v>0</v>
      </c>
      <c r="BQ15" s="6">
        <f t="shared" si="20"/>
        <v>0</v>
      </c>
      <c r="BR15" s="6">
        <f t="shared" si="21"/>
        <v>0</v>
      </c>
      <c r="BS15" s="6">
        <f t="shared" si="22"/>
        <v>0</v>
      </c>
      <c r="BT15" s="6">
        <f t="shared" si="23"/>
        <v>0</v>
      </c>
      <c r="BU15" s="6">
        <f t="shared" si="40"/>
        <v>0</v>
      </c>
      <c r="BV15" s="6">
        <f t="shared" si="24"/>
        <v>0</v>
      </c>
      <c r="BW15" s="6">
        <f t="shared" si="25"/>
        <v>0</v>
      </c>
      <c r="BX15" s="6">
        <f t="shared" si="26"/>
        <v>0</v>
      </c>
      <c r="BY15" s="6">
        <f t="shared" si="27"/>
        <v>0</v>
      </c>
      <c r="BZ15" s="6">
        <f t="shared" si="28"/>
        <v>0</v>
      </c>
      <c r="CA15" s="6">
        <f t="shared" si="29"/>
        <v>0</v>
      </c>
      <c r="CB15" s="6">
        <f t="shared" si="30"/>
        <v>0</v>
      </c>
      <c r="CC15" s="6">
        <f t="shared" si="31"/>
        <v>0</v>
      </c>
      <c r="CD15" s="6">
        <f t="shared" si="32"/>
        <v>0</v>
      </c>
      <c r="CE15" s="6">
        <f t="shared" si="33"/>
        <v>0</v>
      </c>
      <c r="CF15" s="6">
        <f t="shared" si="34"/>
        <v>0</v>
      </c>
    </row>
    <row r="16" spans="2:84" s="4" customFormat="1" hidden="1" x14ac:dyDescent="0.2">
      <c r="B16" s="5" t="s">
        <v>7</v>
      </c>
      <c r="D16" s="16"/>
      <c r="E16" s="7"/>
      <c r="G16" s="8">
        <f t="shared" ref="G16:G26" si="60">F16-E16</f>
        <v>0</v>
      </c>
      <c r="H16" s="7"/>
      <c r="J16" s="8">
        <f t="shared" ref="J16:J26" si="61">I16-H16</f>
        <v>0</v>
      </c>
      <c r="K16" s="7"/>
      <c r="M16" s="8">
        <f t="shared" ref="M16:M23" si="62">L16-K16</f>
        <v>0</v>
      </c>
      <c r="N16" s="7"/>
      <c r="P16" s="8">
        <f t="shared" ref="P16:P23" si="63">O16-N16</f>
        <v>0</v>
      </c>
      <c r="Q16" s="7"/>
      <c r="S16" s="8">
        <f t="shared" ref="S16:S23" si="64">R16-Q16</f>
        <v>0</v>
      </c>
      <c r="T16" s="7"/>
      <c r="V16" s="8">
        <f t="shared" ref="V16:V23" si="65">U16-T16</f>
        <v>0</v>
      </c>
      <c r="W16" s="7"/>
      <c r="Y16" s="8">
        <f t="shared" ref="Y16:Y26" si="66">X16-W16</f>
        <v>0</v>
      </c>
      <c r="Z16" s="7"/>
      <c r="AB16" s="8">
        <f t="shared" ref="AB16:AB26" si="67">AA16-Z16</f>
        <v>0</v>
      </c>
      <c r="AC16" s="7"/>
      <c r="AE16" s="8">
        <f t="shared" ref="AE16:AE26" si="68">AD16-AC16</f>
        <v>0</v>
      </c>
      <c r="AF16" s="7"/>
      <c r="AH16" s="8">
        <f t="shared" ref="AH16:AH26" si="69">AG16-AF16</f>
        <v>0</v>
      </c>
      <c r="AI16" s="7"/>
      <c r="AK16" s="8">
        <f t="shared" ref="AK16:AK26" si="70">AJ16-AI16</f>
        <v>0</v>
      </c>
      <c r="AL16" s="7"/>
      <c r="AN16" s="8">
        <f t="shared" ref="AN16:AN26" si="71">AM16-AL16</f>
        <v>0</v>
      </c>
      <c r="AO16" s="74">
        <f t="shared" ref="AO16:AP24" si="72">AL16+AI16+AF16+AC16+Z16+W16+T16+Q16+N16+K16+H16+E16</f>
        <v>0</v>
      </c>
      <c r="AP16" s="79"/>
      <c r="AQ16" s="22"/>
      <c r="AR16" s="7"/>
      <c r="AT16" s="22">
        <v>0</v>
      </c>
      <c r="AU16" s="88"/>
      <c r="AV16" s="22"/>
    </row>
    <row r="17" spans="1:94" s="4" customFormat="1" hidden="1" x14ac:dyDescent="0.2">
      <c r="B17" s="2"/>
      <c r="C17" s="4" t="s">
        <v>83</v>
      </c>
      <c r="D17" s="4" t="s">
        <v>3</v>
      </c>
      <c r="E17" s="36">
        <f>D33-E33</f>
        <v>0</v>
      </c>
      <c r="F17" s="4">
        <f>D33-F33</f>
        <v>0</v>
      </c>
      <c r="G17" s="8">
        <f t="shared" si="60"/>
        <v>0</v>
      </c>
      <c r="H17" s="7">
        <f>E33-H33</f>
        <v>0</v>
      </c>
      <c r="I17" s="4">
        <f>F33-I33</f>
        <v>0</v>
      </c>
      <c r="J17" s="8">
        <f t="shared" si="61"/>
        <v>0</v>
      </c>
      <c r="K17" s="7">
        <f>H33-K33</f>
        <v>0</v>
      </c>
      <c r="L17" s="4">
        <f>I33-L33</f>
        <v>0</v>
      </c>
      <c r="M17" s="8">
        <f t="shared" si="62"/>
        <v>0</v>
      </c>
      <c r="N17" s="7">
        <f>K33-N33</f>
        <v>0</v>
      </c>
      <c r="O17" s="4">
        <f>L33-O33</f>
        <v>0</v>
      </c>
      <c r="P17" s="8">
        <f t="shared" si="63"/>
        <v>0</v>
      </c>
      <c r="Q17" s="7">
        <f>N33-Q33</f>
        <v>0</v>
      </c>
      <c r="R17" s="4">
        <f>O33-R33</f>
        <v>0</v>
      </c>
      <c r="S17" s="8">
        <f t="shared" si="64"/>
        <v>0</v>
      </c>
      <c r="T17" s="7">
        <f>Q33-T33</f>
        <v>0</v>
      </c>
      <c r="U17" s="4">
        <f>R33-U33</f>
        <v>0</v>
      </c>
      <c r="V17" s="8">
        <f t="shared" si="65"/>
        <v>0</v>
      </c>
      <c r="W17" s="7">
        <f>T33-W33</f>
        <v>0</v>
      </c>
      <c r="X17" s="4">
        <f>U33-X33</f>
        <v>0</v>
      </c>
      <c r="Y17" s="8">
        <f t="shared" si="66"/>
        <v>0</v>
      </c>
      <c r="Z17" s="7">
        <f>W33-Z33</f>
        <v>0</v>
      </c>
      <c r="AA17" s="4">
        <f>X33-AA33</f>
        <v>0</v>
      </c>
      <c r="AB17" s="8">
        <f t="shared" si="67"/>
        <v>0</v>
      </c>
      <c r="AC17" s="7">
        <f>Z33-AC33</f>
        <v>0</v>
      </c>
      <c r="AD17" s="4">
        <f>AA33-AD33</f>
        <v>0</v>
      </c>
      <c r="AE17" s="8">
        <f t="shared" si="68"/>
        <v>0</v>
      </c>
      <c r="AF17" s="7">
        <f>AC33-AF33</f>
        <v>0</v>
      </c>
      <c r="AG17" s="4">
        <f>AD33-AG33</f>
        <v>0</v>
      </c>
      <c r="AH17" s="8">
        <f t="shared" si="69"/>
        <v>0</v>
      </c>
      <c r="AI17" s="7">
        <f>AF33-AI33</f>
        <v>0</v>
      </c>
      <c r="AJ17" s="4">
        <f>AG33-AJ33</f>
        <v>0</v>
      </c>
      <c r="AK17" s="8">
        <f t="shared" si="70"/>
        <v>0</v>
      </c>
      <c r="AL17" s="7">
        <f>AI33-AL33</f>
        <v>0</v>
      </c>
      <c r="AM17" s="1">
        <f>AJ33-AM33</f>
        <v>0</v>
      </c>
      <c r="AN17" s="8">
        <f t="shared" si="71"/>
        <v>0</v>
      </c>
      <c r="AO17" s="74">
        <f t="shared" ref="AO17:AO23" si="73">INDEX(BI17:BT17,1,$I$1)</f>
        <v>0</v>
      </c>
      <c r="AP17" s="77">
        <f t="shared" ref="AP17:AP23" si="74">INDEX(BU17:CF17,1,$I$1)</f>
        <v>0</v>
      </c>
      <c r="AQ17" s="22">
        <f t="shared" ref="AQ17:AQ24" si="75">AP17-AO17</f>
        <v>0</v>
      </c>
      <c r="AR17" s="7" t="str">
        <f t="shared" ref="AR17:AR24" si="76">C17</f>
        <v>Ændring anlægsaktiver</v>
      </c>
      <c r="AT17" s="22">
        <v>-76660</v>
      </c>
      <c r="AU17" s="88">
        <f t="shared" ref="AU17:AU24" si="77">INDEX(AW17:BH17,1,$I$1)</f>
        <v>0</v>
      </c>
      <c r="AV17" s="22">
        <f t="shared" ref="AV17:AV24" si="78">AU17-AT17</f>
        <v>76660</v>
      </c>
      <c r="AW17" s="4">
        <f t="shared" ref="AW17:AW25" si="79">AL17+AI17+AF17+AC17+Z17+W17+T17+Q17+N17+K17+H17+F17</f>
        <v>0</v>
      </c>
      <c r="AX17" s="4">
        <f t="shared" ref="AX17:AX25" si="80">AL17+AI17+AF17+AC17+Z17+W17+T17+Q17+N17+K17+I17+F17</f>
        <v>0</v>
      </c>
      <c r="AY17" s="4">
        <f t="shared" ref="AY17:AY25" si="81">AL17+AI17+AF17+AC17+Z17+W17+T17+Q17+N17+L17+I17+F17</f>
        <v>0</v>
      </c>
      <c r="AZ17" s="4">
        <f t="shared" ref="AZ17:AZ25" si="82">AL17+AI17+AF17+AC17+Z17+W17+T17+Q17+O17+L17+I17+F17</f>
        <v>0</v>
      </c>
      <c r="BA17" s="4">
        <f t="shared" ref="BA17:BA25" si="83">AL17+AI17+AF17+AC17+Z17+W17+T17+R17+O17+L17+I17+F17</f>
        <v>0</v>
      </c>
      <c r="BB17" s="4">
        <f t="shared" ref="BB17:BB25" si="84">AL17+AI17+AF17+AC17+Z17+W17+U17+R17+O17+L17+I17+F17</f>
        <v>0</v>
      </c>
      <c r="BC17" s="4">
        <f t="shared" ref="BC17:BC25" si="85">AL17+AI17+AF17+AC17+Z17+X17+U17+R17+O17+L17+I17+F17</f>
        <v>0</v>
      </c>
      <c r="BD17" s="4">
        <f t="shared" ref="BD17:BD25" si="86">AL17+AI17+AF17+AC17+AA17+X17+U17+R17+O17+L17+I17+F17</f>
        <v>0</v>
      </c>
      <c r="BE17" s="4">
        <f t="shared" ref="BE17:BE25" si="87">AL17+AI17+AF17+AD17+AA17+X17+U17+R17+O17+L17+I17+F17</f>
        <v>0</v>
      </c>
      <c r="BF17" s="4">
        <f t="shared" ref="BF17:BF25" si="88">AL17+AI17+AG17+AD17+AA17+X17+U17+R17+O17+L17+I17+F17</f>
        <v>0</v>
      </c>
      <c r="BG17" s="4">
        <f t="shared" ref="BG17:BG25" si="89">AL17+AJ17+AG17+AD17+AA17+X17+U17+R17+O17+L17+I17+F17</f>
        <v>0</v>
      </c>
      <c r="BH17" s="4">
        <f t="shared" ref="BH17:BH25" si="90">AM17+AJ17+AG17+AD17+AA17+X17+U17+R17+O17+L17+I17+F17</f>
        <v>0</v>
      </c>
      <c r="BI17" s="4">
        <f t="shared" ref="BI17:BI23" si="91">E17</f>
        <v>0</v>
      </c>
      <c r="BJ17" s="4">
        <f t="shared" ref="BJ17:BJ23" si="92">BI17+H17</f>
        <v>0</v>
      </c>
      <c r="BK17" s="4">
        <f t="shared" ref="BK17:BK23" si="93">BJ17+K17</f>
        <v>0</v>
      </c>
      <c r="BL17" s="4">
        <f t="shared" ref="BL17:BL23" si="94">BK17+N17</f>
        <v>0</v>
      </c>
      <c r="BM17" s="4">
        <f t="shared" ref="BM17:BM23" si="95">BL17+Q17</f>
        <v>0</v>
      </c>
      <c r="BN17" s="4">
        <f t="shared" ref="BN17:BN23" si="96">BM17+T17</f>
        <v>0</v>
      </c>
      <c r="BO17" s="4">
        <f t="shared" ref="BO17:BO23" si="97">BN17+W17</f>
        <v>0</v>
      </c>
      <c r="BP17" s="4">
        <f t="shared" ref="BP17:BP23" si="98">BO17+Z17</f>
        <v>0</v>
      </c>
      <c r="BQ17" s="4">
        <f t="shared" ref="BQ17:BQ23" si="99">BP17+AC17</f>
        <v>0</v>
      </c>
      <c r="BR17" s="4">
        <f t="shared" ref="BR17:BR23" si="100">+BQ17+AF17</f>
        <v>0</v>
      </c>
      <c r="BS17" s="4">
        <f t="shared" ref="BS17:BS23" si="101">+BR17+AI17</f>
        <v>0</v>
      </c>
      <c r="BT17" s="4">
        <f t="shared" ref="BT17:BT23" si="102">BS17+AL17</f>
        <v>0</v>
      </c>
      <c r="BU17" s="4">
        <f t="shared" ref="BU17:BU23" si="103">F17</f>
        <v>0</v>
      </c>
      <c r="BV17" s="4">
        <f t="shared" ref="BV17:BV23" si="104">BU17+I17</f>
        <v>0</v>
      </c>
      <c r="BW17" s="4">
        <f t="shared" ref="BW17:BW23" si="105">BV17+L17</f>
        <v>0</v>
      </c>
      <c r="BX17" s="4">
        <f t="shared" ref="BX17:BX23" si="106">BW17+O17</f>
        <v>0</v>
      </c>
      <c r="BY17" s="4">
        <f t="shared" ref="BY17:BY23" si="107">BX17+R17</f>
        <v>0</v>
      </c>
      <c r="BZ17" s="4">
        <f t="shared" ref="BZ17:BZ23" si="108">BY17+U17</f>
        <v>0</v>
      </c>
      <c r="CA17" s="4">
        <f t="shared" ref="CA17:CA23" si="109">BZ17+X17</f>
        <v>0</v>
      </c>
      <c r="CB17" s="4">
        <f t="shared" ref="CB17:CB23" si="110">CA17+AA17</f>
        <v>0</v>
      </c>
      <c r="CC17" s="4">
        <f t="shared" ref="CC17:CC23" si="111">CB17+AD17</f>
        <v>0</v>
      </c>
      <c r="CD17" s="4">
        <f t="shared" ref="CD17:CD23" si="112">+CC17+AG17</f>
        <v>0</v>
      </c>
      <c r="CE17" s="4">
        <f t="shared" ref="CE17:CE23" si="113">+CD17+AJ17</f>
        <v>0</v>
      </c>
      <c r="CF17" s="4">
        <f t="shared" ref="CF17:CF23" si="114">CE17+AM17</f>
        <v>0</v>
      </c>
    </row>
    <row r="18" spans="1:94" s="4" customFormat="1" hidden="1" x14ac:dyDescent="0.2">
      <c r="B18" s="2"/>
      <c r="C18" s="4" t="s">
        <v>84</v>
      </c>
      <c r="E18" s="36">
        <f>D34-E34</f>
        <v>0</v>
      </c>
      <c r="F18" s="4">
        <f>D34-F34</f>
        <v>0</v>
      </c>
      <c r="G18" s="8">
        <f t="shared" si="60"/>
        <v>0</v>
      </c>
      <c r="H18" s="7">
        <f>E34-H34</f>
        <v>0</v>
      </c>
      <c r="I18" s="4">
        <f>F34-I34</f>
        <v>0</v>
      </c>
      <c r="J18" s="8">
        <f t="shared" si="61"/>
        <v>0</v>
      </c>
      <c r="K18" s="7">
        <f>H34-K34</f>
        <v>0</v>
      </c>
      <c r="L18" s="4">
        <f>I34-L34</f>
        <v>0</v>
      </c>
      <c r="M18" s="8">
        <f t="shared" si="62"/>
        <v>0</v>
      </c>
      <c r="N18" s="7">
        <f>K34-N34</f>
        <v>0</v>
      </c>
      <c r="O18" s="4">
        <f>L34-O34</f>
        <v>0</v>
      </c>
      <c r="P18" s="8">
        <f t="shared" si="63"/>
        <v>0</v>
      </c>
      <c r="Q18" s="7">
        <f>N34-Q34</f>
        <v>0</v>
      </c>
      <c r="R18" s="4">
        <f>O34-R34</f>
        <v>0</v>
      </c>
      <c r="S18" s="8">
        <f t="shared" si="64"/>
        <v>0</v>
      </c>
      <c r="T18" s="7">
        <f>Q34-T34</f>
        <v>0</v>
      </c>
      <c r="U18" s="4">
        <f>R34-U34</f>
        <v>0</v>
      </c>
      <c r="V18" s="8">
        <f t="shared" si="65"/>
        <v>0</v>
      </c>
      <c r="W18" s="7">
        <f>T34-W34</f>
        <v>0</v>
      </c>
      <c r="X18" s="4">
        <f>U34-X34</f>
        <v>0</v>
      </c>
      <c r="Y18" s="8">
        <f t="shared" si="66"/>
        <v>0</v>
      </c>
      <c r="Z18" s="7">
        <f>W34-Z34</f>
        <v>0</v>
      </c>
      <c r="AA18" s="4">
        <f>X34-AA34</f>
        <v>0</v>
      </c>
      <c r="AB18" s="8">
        <f t="shared" si="67"/>
        <v>0</v>
      </c>
      <c r="AC18" s="7">
        <f>Z34-AC34</f>
        <v>0</v>
      </c>
      <c r="AD18" s="4">
        <f>AA34-AD34</f>
        <v>0</v>
      </c>
      <c r="AE18" s="8">
        <f t="shared" si="68"/>
        <v>0</v>
      </c>
      <c r="AF18" s="7">
        <f>AC34-AF34</f>
        <v>0</v>
      </c>
      <c r="AG18" s="4">
        <f>AD34-AG34</f>
        <v>0</v>
      </c>
      <c r="AH18" s="8">
        <f t="shared" si="69"/>
        <v>0</v>
      </c>
      <c r="AI18" s="7">
        <f>AF34-AI34</f>
        <v>0</v>
      </c>
      <c r="AJ18" s="4">
        <f>AG34-AJ34</f>
        <v>0</v>
      </c>
      <c r="AK18" s="8">
        <f t="shared" si="70"/>
        <v>0</v>
      </c>
      <c r="AL18" s="7">
        <f>AI34-AL34</f>
        <v>0</v>
      </c>
      <c r="AM18" s="1">
        <f>AJ34-AM34</f>
        <v>0</v>
      </c>
      <c r="AN18" s="8">
        <f t="shared" si="71"/>
        <v>0</v>
      </c>
      <c r="AO18" s="73">
        <f t="shared" si="73"/>
        <v>0</v>
      </c>
      <c r="AP18" s="80">
        <f t="shared" si="74"/>
        <v>0</v>
      </c>
      <c r="AQ18" s="22">
        <f>AP18-AO18</f>
        <v>0</v>
      </c>
      <c r="AR18" s="7" t="str">
        <f t="shared" si="76"/>
        <v>Ændring tilgodehavender</v>
      </c>
      <c r="AT18" s="22">
        <v>-25548</v>
      </c>
      <c r="AU18" s="88">
        <f t="shared" si="77"/>
        <v>0</v>
      </c>
      <c r="AV18" s="22">
        <f>AU18-AT18</f>
        <v>25548</v>
      </c>
      <c r="AW18" s="4">
        <f t="shared" si="79"/>
        <v>0</v>
      </c>
      <c r="AX18" s="4">
        <f t="shared" si="80"/>
        <v>0</v>
      </c>
      <c r="AY18" s="4">
        <f t="shared" si="81"/>
        <v>0</v>
      </c>
      <c r="AZ18" s="4">
        <f t="shared" si="82"/>
        <v>0</v>
      </c>
      <c r="BA18" s="4">
        <f t="shared" si="83"/>
        <v>0</v>
      </c>
      <c r="BB18" s="4">
        <f t="shared" si="84"/>
        <v>0</v>
      </c>
      <c r="BC18" s="4">
        <f t="shared" si="85"/>
        <v>0</v>
      </c>
      <c r="BD18" s="4">
        <f t="shared" si="86"/>
        <v>0</v>
      </c>
      <c r="BE18" s="4">
        <f t="shared" si="87"/>
        <v>0</v>
      </c>
      <c r="BF18" s="4">
        <f t="shared" si="88"/>
        <v>0</v>
      </c>
      <c r="BG18" s="4">
        <f t="shared" si="89"/>
        <v>0</v>
      </c>
      <c r="BH18" s="4">
        <f t="shared" si="90"/>
        <v>0</v>
      </c>
      <c r="BI18" s="4">
        <f t="shared" si="91"/>
        <v>0</v>
      </c>
      <c r="BJ18" s="4">
        <f t="shared" si="92"/>
        <v>0</v>
      </c>
      <c r="BK18" s="4">
        <f t="shared" si="93"/>
        <v>0</v>
      </c>
      <c r="BL18" s="4">
        <f t="shared" si="94"/>
        <v>0</v>
      </c>
      <c r="BM18" s="4">
        <f t="shared" si="95"/>
        <v>0</v>
      </c>
      <c r="BN18" s="4">
        <f t="shared" si="96"/>
        <v>0</v>
      </c>
      <c r="BO18" s="4">
        <f t="shared" si="97"/>
        <v>0</v>
      </c>
      <c r="BP18" s="4">
        <f t="shared" si="98"/>
        <v>0</v>
      </c>
      <c r="BQ18" s="4">
        <f t="shared" si="99"/>
        <v>0</v>
      </c>
      <c r="BR18" s="4">
        <f t="shared" si="100"/>
        <v>0</v>
      </c>
      <c r="BS18" s="4">
        <f t="shared" si="101"/>
        <v>0</v>
      </c>
      <c r="BT18" s="4">
        <f t="shared" si="102"/>
        <v>0</v>
      </c>
      <c r="BU18" s="4">
        <f t="shared" si="103"/>
        <v>0</v>
      </c>
      <c r="BV18" s="4">
        <f t="shared" si="104"/>
        <v>0</v>
      </c>
      <c r="BW18" s="4">
        <f t="shared" si="105"/>
        <v>0</v>
      </c>
      <c r="BX18" s="4">
        <f t="shared" si="106"/>
        <v>0</v>
      </c>
      <c r="BY18" s="4">
        <f t="shared" si="107"/>
        <v>0</v>
      </c>
      <c r="BZ18" s="4">
        <f t="shared" si="108"/>
        <v>0</v>
      </c>
      <c r="CA18" s="4">
        <f t="shared" si="109"/>
        <v>0</v>
      </c>
      <c r="CB18" s="4">
        <f t="shared" si="110"/>
        <v>0</v>
      </c>
      <c r="CC18" s="4">
        <f t="shared" si="111"/>
        <v>0</v>
      </c>
      <c r="CD18" s="4">
        <f t="shared" si="112"/>
        <v>0</v>
      </c>
      <c r="CE18" s="4">
        <f t="shared" si="113"/>
        <v>0</v>
      </c>
      <c r="CF18" s="4">
        <f t="shared" si="114"/>
        <v>0</v>
      </c>
    </row>
    <row r="19" spans="1:94" s="4" customFormat="1" hidden="1" x14ac:dyDescent="0.2">
      <c r="B19" s="2"/>
      <c r="C19" s="4" t="s">
        <v>104</v>
      </c>
      <c r="E19" s="36">
        <f>D38-E38</f>
        <v>0</v>
      </c>
      <c r="F19" s="4">
        <f>D38-F38</f>
        <v>0</v>
      </c>
      <c r="G19" s="8">
        <f t="shared" si="60"/>
        <v>0</v>
      </c>
      <c r="H19" s="7">
        <f t="shared" ref="H19:I22" si="115">E38-H38</f>
        <v>0</v>
      </c>
      <c r="I19" s="4">
        <f t="shared" si="115"/>
        <v>0</v>
      </c>
      <c r="J19" s="8">
        <f t="shared" si="61"/>
        <v>0</v>
      </c>
      <c r="K19" s="7">
        <f t="shared" ref="K19:L22" si="116">H38-K38</f>
        <v>0</v>
      </c>
      <c r="L19" s="4">
        <f t="shared" si="116"/>
        <v>0</v>
      </c>
      <c r="M19" s="8"/>
      <c r="N19" s="7">
        <f t="shared" ref="N19:O22" si="117">K38-N38</f>
        <v>0</v>
      </c>
      <c r="O19" s="4">
        <f t="shared" si="117"/>
        <v>0</v>
      </c>
      <c r="P19" s="8"/>
      <c r="Q19" s="7">
        <f t="shared" ref="Q19:R22" si="118">N38-Q38</f>
        <v>0</v>
      </c>
      <c r="R19" s="4">
        <f t="shared" si="118"/>
        <v>0</v>
      </c>
      <c r="S19" s="8"/>
      <c r="T19" s="7">
        <f t="shared" ref="T19:U22" si="119">Q38-T38</f>
        <v>0</v>
      </c>
      <c r="U19" s="4">
        <f t="shared" si="119"/>
        <v>0</v>
      </c>
      <c r="V19" s="8"/>
      <c r="W19" s="7">
        <f t="shared" ref="W19:X22" si="120">T38-W38</f>
        <v>0</v>
      </c>
      <c r="X19" s="4">
        <f t="shared" si="120"/>
        <v>0</v>
      </c>
      <c r="Y19" s="8">
        <f t="shared" si="66"/>
        <v>0</v>
      </c>
      <c r="Z19" s="7">
        <f t="shared" ref="Z19:AA22" si="121">W38-Z38</f>
        <v>0</v>
      </c>
      <c r="AA19" s="4">
        <f t="shared" si="121"/>
        <v>0</v>
      </c>
      <c r="AB19" s="8">
        <f t="shared" si="67"/>
        <v>0</v>
      </c>
      <c r="AC19" s="7">
        <f t="shared" ref="AC19:AD22" si="122">Z38-AC38</f>
        <v>0</v>
      </c>
      <c r="AD19" s="4">
        <f t="shared" si="122"/>
        <v>0</v>
      </c>
      <c r="AE19" s="8">
        <f t="shared" si="68"/>
        <v>0</v>
      </c>
      <c r="AF19" s="7">
        <f t="shared" ref="AF19:AG22" si="123">AC38-AF38</f>
        <v>0</v>
      </c>
      <c r="AG19" s="4">
        <f t="shared" si="123"/>
        <v>0</v>
      </c>
      <c r="AH19" s="8">
        <f t="shared" si="69"/>
        <v>0</v>
      </c>
      <c r="AI19" s="7">
        <f t="shared" ref="AI19:AJ22" si="124">AF38-AI38</f>
        <v>0</v>
      </c>
      <c r="AJ19" s="4">
        <f t="shared" si="124"/>
        <v>0</v>
      </c>
      <c r="AK19" s="8">
        <f t="shared" si="70"/>
        <v>0</v>
      </c>
      <c r="AL19" s="7">
        <f t="shared" ref="AL19:AM22" si="125">AI38-AL38</f>
        <v>0</v>
      </c>
      <c r="AM19" s="1">
        <f t="shared" si="125"/>
        <v>0</v>
      </c>
      <c r="AN19" s="8">
        <f t="shared" si="71"/>
        <v>0</v>
      </c>
      <c r="AO19" s="73">
        <f t="shared" si="73"/>
        <v>0</v>
      </c>
      <c r="AP19" s="80">
        <f t="shared" si="74"/>
        <v>0</v>
      </c>
      <c r="AQ19" s="22">
        <f t="shared" si="75"/>
        <v>0</v>
      </c>
      <c r="AR19" s="7" t="str">
        <f t="shared" si="76"/>
        <v>Hævet til privat, bil og skat</v>
      </c>
      <c r="AT19" s="22">
        <v>-138695</v>
      </c>
      <c r="AU19" s="88">
        <f t="shared" si="77"/>
        <v>0</v>
      </c>
      <c r="AV19" s="22">
        <f t="shared" si="78"/>
        <v>138695</v>
      </c>
      <c r="AW19" s="4">
        <f t="shared" si="79"/>
        <v>0</v>
      </c>
      <c r="AX19" s="4">
        <f t="shared" si="80"/>
        <v>0</v>
      </c>
      <c r="AY19" s="4">
        <f t="shared" si="81"/>
        <v>0</v>
      </c>
      <c r="AZ19" s="4">
        <f t="shared" si="82"/>
        <v>0</v>
      </c>
      <c r="BA19" s="4">
        <f t="shared" si="83"/>
        <v>0</v>
      </c>
      <c r="BB19" s="4">
        <f t="shared" si="84"/>
        <v>0</v>
      </c>
      <c r="BC19" s="4">
        <f t="shared" si="85"/>
        <v>0</v>
      </c>
      <c r="BD19" s="4">
        <f t="shared" si="86"/>
        <v>0</v>
      </c>
      <c r="BE19" s="4">
        <f t="shared" si="87"/>
        <v>0</v>
      </c>
      <c r="BF19" s="4">
        <f t="shared" si="88"/>
        <v>0</v>
      </c>
      <c r="BG19" s="4">
        <f t="shared" si="89"/>
        <v>0</v>
      </c>
      <c r="BH19" s="4">
        <f t="shared" si="90"/>
        <v>0</v>
      </c>
      <c r="BI19" s="4">
        <f t="shared" si="91"/>
        <v>0</v>
      </c>
      <c r="BJ19" s="4">
        <f t="shared" si="92"/>
        <v>0</v>
      </c>
      <c r="BK19" s="4">
        <f t="shared" si="93"/>
        <v>0</v>
      </c>
      <c r="BL19" s="4">
        <f t="shared" si="94"/>
        <v>0</v>
      </c>
      <c r="BM19" s="4">
        <f t="shared" si="95"/>
        <v>0</v>
      </c>
      <c r="BN19" s="4">
        <f t="shared" si="96"/>
        <v>0</v>
      </c>
      <c r="BO19" s="4">
        <f t="shared" si="97"/>
        <v>0</v>
      </c>
      <c r="BP19" s="4">
        <f t="shared" si="98"/>
        <v>0</v>
      </c>
      <c r="BQ19" s="4">
        <f t="shared" si="99"/>
        <v>0</v>
      </c>
      <c r="BR19" s="4">
        <f t="shared" si="100"/>
        <v>0</v>
      </c>
      <c r="BS19" s="4">
        <f t="shared" si="101"/>
        <v>0</v>
      </c>
      <c r="BT19" s="4">
        <f t="shared" si="102"/>
        <v>0</v>
      </c>
      <c r="BU19" s="4">
        <f t="shared" si="103"/>
        <v>0</v>
      </c>
      <c r="BV19" s="4">
        <f t="shared" si="104"/>
        <v>0</v>
      </c>
      <c r="BW19" s="4">
        <f t="shared" si="105"/>
        <v>0</v>
      </c>
      <c r="BX19" s="4">
        <f t="shared" si="106"/>
        <v>0</v>
      </c>
      <c r="BY19" s="4">
        <f t="shared" si="107"/>
        <v>0</v>
      </c>
      <c r="BZ19" s="4">
        <f t="shared" si="108"/>
        <v>0</v>
      </c>
      <c r="CA19" s="4">
        <f t="shared" si="109"/>
        <v>0</v>
      </c>
      <c r="CB19" s="4">
        <f t="shared" si="110"/>
        <v>0</v>
      </c>
      <c r="CC19" s="4">
        <f t="shared" si="111"/>
        <v>0</v>
      </c>
      <c r="CD19" s="4">
        <f t="shared" si="112"/>
        <v>0</v>
      </c>
      <c r="CE19" s="4">
        <f t="shared" si="113"/>
        <v>0</v>
      </c>
      <c r="CF19" s="4">
        <f t="shared" si="114"/>
        <v>0</v>
      </c>
    </row>
    <row r="20" spans="1:94" s="4" customFormat="1" hidden="1" x14ac:dyDescent="0.2">
      <c r="B20" s="2"/>
      <c r="C20" s="4" t="s">
        <v>85</v>
      </c>
      <c r="E20" s="36">
        <f>D39-E39</f>
        <v>0</v>
      </c>
      <c r="F20" s="4">
        <f>D39-F39</f>
        <v>0</v>
      </c>
      <c r="G20" s="8">
        <f t="shared" si="60"/>
        <v>0</v>
      </c>
      <c r="H20" s="7">
        <f t="shared" si="115"/>
        <v>0</v>
      </c>
      <c r="I20" s="4">
        <f t="shared" si="115"/>
        <v>0</v>
      </c>
      <c r="J20" s="8">
        <f t="shared" si="61"/>
        <v>0</v>
      </c>
      <c r="K20" s="7">
        <f t="shared" si="116"/>
        <v>0</v>
      </c>
      <c r="L20" s="4">
        <f t="shared" si="116"/>
        <v>0</v>
      </c>
      <c r="M20" s="8">
        <f t="shared" ref="M20" si="126">L20-K20</f>
        <v>0</v>
      </c>
      <c r="N20" s="7">
        <f t="shared" si="117"/>
        <v>0</v>
      </c>
      <c r="O20" s="4">
        <f t="shared" si="117"/>
        <v>0</v>
      </c>
      <c r="P20" s="8">
        <f t="shared" ref="P20" si="127">O20-N20</f>
        <v>0</v>
      </c>
      <c r="Q20" s="7">
        <f t="shared" si="118"/>
        <v>0</v>
      </c>
      <c r="R20" s="4">
        <f t="shared" si="118"/>
        <v>0</v>
      </c>
      <c r="S20" s="8">
        <f t="shared" ref="S20" si="128">R20-Q20</f>
        <v>0</v>
      </c>
      <c r="T20" s="7">
        <f t="shared" si="119"/>
        <v>0</v>
      </c>
      <c r="U20" s="4">
        <f t="shared" si="119"/>
        <v>0</v>
      </c>
      <c r="V20" s="8">
        <f t="shared" ref="V20" si="129">U20-T20</f>
        <v>0</v>
      </c>
      <c r="W20" s="7">
        <f t="shared" si="120"/>
        <v>0</v>
      </c>
      <c r="X20" s="4">
        <f t="shared" si="120"/>
        <v>0</v>
      </c>
      <c r="Y20" s="8">
        <f t="shared" si="66"/>
        <v>0</v>
      </c>
      <c r="Z20" s="7">
        <f t="shared" si="121"/>
        <v>0</v>
      </c>
      <c r="AA20" s="4">
        <f t="shared" si="121"/>
        <v>0</v>
      </c>
      <c r="AB20" s="8">
        <f t="shared" si="67"/>
        <v>0</v>
      </c>
      <c r="AC20" s="7">
        <f t="shared" si="122"/>
        <v>0</v>
      </c>
      <c r="AD20" s="4">
        <f t="shared" si="122"/>
        <v>0</v>
      </c>
      <c r="AE20" s="8">
        <f t="shared" si="68"/>
        <v>0</v>
      </c>
      <c r="AF20" s="7">
        <f t="shared" si="123"/>
        <v>0</v>
      </c>
      <c r="AG20" s="4">
        <f t="shared" si="123"/>
        <v>0</v>
      </c>
      <c r="AH20" s="8">
        <f t="shared" si="69"/>
        <v>0</v>
      </c>
      <c r="AI20" s="7">
        <f t="shared" si="124"/>
        <v>0</v>
      </c>
      <c r="AJ20" s="4">
        <f t="shared" si="124"/>
        <v>0</v>
      </c>
      <c r="AK20" s="8">
        <f t="shared" si="70"/>
        <v>0</v>
      </c>
      <c r="AL20" s="7">
        <f t="shared" si="125"/>
        <v>0</v>
      </c>
      <c r="AM20" s="1">
        <f t="shared" si="125"/>
        <v>0</v>
      </c>
      <c r="AN20" s="8">
        <f t="shared" si="71"/>
        <v>0</v>
      </c>
      <c r="AO20" s="73">
        <f t="shared" si="73"/>
        <v>0</v>
      </c>
      <c r="AP20" s="80">
        <f t="shared" si="74"/>
        <v>0</v>
      </c>
      <c r="AQ20" s="22">
        <f t="shared" si="75"/>
        <v>0</v>
      </c>
      <c r="AR20" s="7" t="str">
        <f t="shared" si="76"/>
        <v>Ændring langfristet gæld</v>
      </c>
      <c r="AT20" s="22">
        <v>302155</v>
      </c>
      <c r="AU20" s="88">
        <f t="shared" si="77"/>
        <v>0</v>
      </c>
      <c r="AV20" s="22">
        <f t="shared" si="78"/>
        <v>-302155</v>
      </c>
      <c r="AW20" s="4">
        <f t="shared" si="79"/>
        <v>0</v>
      </c>
      <c r="AX20" s="4">
        <f t="shared" si="80"/>
        <v>0</v>
      </c>
      <c r="AY20" s="4">
        <f t="shared" si="81"/>
        <v>0</v>
      </c>
      <c r="AZ20" s="4">
        <f t="shared" si="82"/>
        <v>0</v>
      </c>
      <c r="BA20" s="4">
        <f t="shared" si="83"/>
        <v>0</v>
      </c>
      <c r="BB20" s="4">
        <f t="shared" si="84"/>
        <v>0</v>
      </c>
      <c r="BC20" s="4">
        <f t="shared" si="85"/>
        <v>0</v>
      </c>
      <c r="BD20" s="4">
        <f t="shared" si="86"/>
        <v>0</v>
      </c>
      <c r="BE20" s="4">
        <f t="shared" si="87"/>
        <v>0</v>
      </c>
      <c r="BF20" s="4">
        <f t="shared" si="88"/>
        <v>0</v>
      </c>
      <c r="BG20" s="4">
        <f t="shared" si="89"/>
        <v>0</v>
      </c>
      <c r="BH20" s="4">
        <f t="shared" si="90"/>
        <v>0</v>
      </c>
      <c r="BI20" s="4">
        <f t="shared" si="91"/>
        <v>0</v>
      </c>
      <c r="BJ20" s="4">
        <f t="shared" si="92"/>
        <v>0</v>
      </c>
      <c r="BK20" s="4">
        <f t="shared" si="93"/>
        <v>0</v>
      </c>
      <c r="BL20" s="4">
        <f t="shared" si="94"/>
        <v>0</v>
      </c>
      <c r="BM20" s="4">
        <f t="shared" si="95"/>
        <v>0</v>
      </c>
      <c r="BN20" s="4">
        <f t="shared" si="96"/>
        <v>0</v>
      </c>
      <c r="BO20" s="4">
        <f t="shared" si="97"/>
        <v>0</v>
      </c>
      <c r="BP20" s="4">
        <f t="shared" si="98"/>
        <v>0</v>
      </c>
      <c r="BQ20" s="4">
        <f t="shared" si="99"/>
        <v>0</v>
      </c>
      <c r="BR20" s="4">
        <f t="shared" si="100"/>
        <v>0</v>
      </c>
      <c r="BS20" s="4">
        <f t="shared" si="101"/>
        <v>0</v>
      </c>
      <c r="BT20" s="4">
        <f t="shared" si="102"/>
        <v>0</v>
      </c>
      <c r="BU20" s="4">
        <f t="shared" si="103"/>
        <v>0</v>
      </c>
      <c r="BV20" s="4">
        <f t="shared" si="104"/>
        <v>0</v>
      </c>
      <c r="BW20" s="4">
        <f t="shared" si="105"/>
        <v>0</v>
      </c>
      <c r="BX20" s="4">
        <f t="shared" si="106"/>
        <v>0</v>
      </c>
      <c r="BY20" s="4">
        <f t="shared" si="107"/>
        <v>0</v>
      </c>
      <c r="BZ20" s="4">
        <f t="shared" si="108"/>
        <v>0</v>
      </c>
      <c r="CA20" s="4">
        <f t="shared" si="109"/>
        <v>0</v>
      </c>
      <c r="CB20" s="4">
        <f t="shared" si="110"/>
        <v>0</v>
      </c>
      <c r="CC20" s="4">
        <f t="shared" si="111"/>
        <v>0</v>
      </c>
      <c r="CD20" s="4">
        <f t="shared" si="112"/>
        <v>0</v>
      </c>
      <c r="CE20" s="4">
        <f t="shared" si="113"/>
        <v>0</v>
      </c>
      <c r="CF20" s="4">
        <f t="shared" si="114"/>
        <v>0</v>
      </c>
    </row>
    <row r="21" spans="1:94" s="4" customFormat="1" hidden="1" x14ac:dyDescent="0.2">
      <c r="B21" s="2"/>
      <c r="C21" s="4" t="s">
        <v>86</v>
      </c>
      <c r="E21" s="36">
        <f>D40-E40</f>
        <v>0</v>
      </c>
      <c r="F21" s="4">
        <f>D40-F40</f>
        <v>0</v>
      </c>
      <c r="G21" s="8">
        <f t="shared" si="60"/>
        <v>0</v>
      </c>
      <c r="H21" s="7">
        <f t="shared" si="115"/>
        <v>0</v>
      </c>
      <c r="I21" s="4">
        <f t="shared" si="115"/>
        <v>0</v>
      </c>
      <c r="J21" s="8">
        <f t="shared" si="61"/>
        <v>0</v>
      </c>
      <c r="K21" s="7">
        <f t="shared" si="116"/>
        <v>0</v>
      </c>
      <c r="L21" s="4">
        <f t="shared" si="116"/>
        <v>0</v>
      </c>
      <c r="M21" s="8">
        <f t="shared" si="62"/>
        <v>0</v>
      </c>
      <c r="N21" s="7">
        <f t="shared" si="117"/>
        <v>0</v>
      </c>
      <c r="O21" s="4">
        <f t="shared" si="117"/>
        <v>0</v>
      </c>
      <c r="P21" s="8">
        <f t="shared" si="63"/>
        <v>0</v>
      </c>
      <c r="Q21" s="7">
        <f t="shared" si="118"/>
        <v>0</v>
      </c>
      <c r="R21" s="4">
        <f t="shared" si="118"/>
        <v>0</v>
      </c>
      <c r="S21" s="8">
        <f t="shared" si="64"/>
        <v>0</v>
      </c>
      <c r="T21" s="7">
        <f t="shared" si="119"/>
        <v>0</v>
      </c>
      <c r="U21" s="4">
        <f t="shared" si="119"/>
        <v>0</v>
      </c>
      <c r="V21" s="8">
        <f t="shared" si="65"/>
        <v>0</v>
      </c>
      <c r="W21" s="7">
        <f t="shared" si="120"/>
        <v>0</v>
      </c>
      <c r="X21" s="4">
        <f t="shared" si="120"/>
        <v>0</v>
      </c>
      <c r="Y21" s="8">
        <f t="shared" si="66"/>
        <v>0</v>
      </c>
      <c r="Z21" s="7">
        <f t="shared" si="121"/>
        <v>0</v>
      </c>
      <c r="AA21" s="4">
        <f t="shared" si="121"/>
        <v>0</v>
      </c>
      <c r="AB21" s="8">
        <f t="shared" si="67"/>
        <v>0</v>
      </c>
      <c r="AC21" s="7">
        <f t="shared" si="122"/>
        <v>0</v>
      </c>
      <c r="AD21" s="4">
        <f t="shared" si="122"/>
        <v>0</v>
      </c>
      <c r="AE21" s="8">
        <f t="shared" si="68"/>
        <v>0</v>
      </c>
      <c r="AF21" s="7">
        <f t="shared" si="123"/>
        <v>0</v>
      </c>
      <c r="AG21" s="4">
        <f t="shared" si="123"/>
        <v>0</v>
      </c>
      <c r="AH21" s="8">
        <f t="shared" si="69"/>
        <v>0</v>
      </c>
      <c r="AI21" s="7">
        <f t="shared" si="124"/>
        <v>0</v>
      </c>
      <c r="AJ21" s="4">
        <f t="shared" si="124"/>
        <v>0</v>
      </c>
      <c r="AK21" s="8">
        <f t="shared" si="70"/>
        <v>0</v>
      </c>
      <c r="AL21" s="7">
        <f t="shared" si="125"/>
        <v>0</v>
      </c>
      <c r="AM21" s="1">
        <f t="shared" si="125"/>
        <v>0</v>
      </c>
      <c r="AN21" s="8">
        <f t="shared" si="71"/>
        <v>0</v>
      </c>
      <c r="AO21" s="73">
        <f t="shared" si="73"/>
        <v>0</v>
      </c>
      <c r="AP21" s="80">
        <f t="shared" si="74"/>
        <v>0</v>
      </c>
      <c r="AQ21" s="22">
        <f t="shared" si="75"/>
        <v>0</v>
      </c>
      <c r="AR21" s="7" t="str">
        <f t="shared" si="76"/>
        <v>Ændring kortfristet gæld</v>
      </c>
      <c r="AT21" s="22">
        <v>99334</v>
      </c>
      <c r="AU21" s="88">
        <f t="shared" si="77"/>
        <v>0</v>
      </c>
      <c r="AV21" s="22">
        <f t="shared" si="78"/>
        <v>-99334</v>
      </c>
      <c r="AW21" s="4">
        <f t="shared" si="79"/>
        <v>0</v>
      </c>
      <c r="AX21" s="4">
        <f t="shared" si="80"/>
        <v>0</v>
      </c>
      <c r="AY21" s="4">
        <f t="shared" si="81"/>
        <v>0</v>
      </c>
      <c r="AZ21" s="4">
        <f t="shared" si="82"/>
        <v>0</v>
      </c>
      <c r="BA21" s="4">
        <f t="shared" si="83"/>
        <v>0</v>
      </c>
      <c r="BB21" s="4">
        <f t="shared" si="84"/>
        <v>0</v>
      </c>
      <c r="BC21" s="4">
        <f t="shared" si="85"/>
        <v>0</v>
      </c>
      <c r="BD21" s="4">
        <f t="shared" si="86"/>
        <v>0</v>
      </c>
      <c r="BE21" s="4">
        <f t="shared" si="87"/>
        <v>0</v>
      </c>
      <c r="BF21" s="4">
        <f t="shared" si="88"/>
        <v>0</v>
      </c>
      <c r="BG21" s="4">
        <f t="shared" si="89"/>
        <v>0</v>
      </c>
      <c r="BH21" s="4">
        <f t="shared" si="90"/>
        <v>0</v>
      </c>
      <c r="BI21" s="4">
        <f t="shared" si="91"/>
        <v>0</v>
      </c>
      <c r="BJ21" s="4">
        <f t="shared" si="92"/>
        <v>0</v>
      </c>
      <c r="BK21" s="4">
        <f t="shared" si="93"/>
        <v>0</v>
      </c>
      <c r="BL21" s="4">
        <f t="shared" si="94"/>
        <v>0</v>
      </c>
      <c r="BM21" s="4">
        <f t="shared" si="95"/>
        <v>0</v>
      </c>
      <c r="BN21" s="4">
        <f t="shared" si="96"/>
        <v>0</v>
      </c>
      <c r="BO21" s="4">
        <f t="shared" si="97"/>
        <v>0</v>
      </c>
      <c r="BP21" s="4">
        <f t="shared" si="98"/>
        <v>0</v>
      </c>
      <c r="BQ21" s="4">
        <f t="shared" si="99"/>
        <v>0</v>
      </c>
      <c r="BR21" s="4">
        <f t="shared" si="100"/>
        <v>0</v>
      </c>
      <c r="BS21" s="4">
        <f t="shared" si="101"/>
        <v>0</v>
      </c>
      <c r="BT21" s="4">
        <f t="shared" si="102"/>
        <v>0</v>
      </c>
      <c r="BU21" s="4">
        <f t="shared" si="103"/>
        <v>0</v>
      </c>
      <c r="BV21" s="4">
        <f t="shared" si="104"/>
        <v>0</v>
      </c>
      <c r="BW21" s="4">
        <f t="shared" si="105"/>
        <v>0</v>
      </c>
      <c r="BX21" s="4">
        <f t="shared" si="106"/>
        <v>0</v>
      </c>
      <c r="BY21" s="4">
        <f t="shared" si="107"/>
        <v>0</v>
      </c>
      <c r="BZ21" s="4">
        <f t="shared" si="108"/>
        <v>0</v>
      </c>
      <c r="CA21" s="4">
        <f t="shared" si="109"/>
        <v>0</v>
      </c>
      <c r="CB21" s="4">
        <f t="shared" si="110"/>
        <v>0</v>
      </c>
      <c r="CC21" s="4">
        <f t="shared" si="111"/>
        <v>0</v>
      </c>
      <c r="CD21" s="4">
        <f t="shared" si="112"/>
        <v>0</v>
      </c>
      <c r="CE21" s="4">
        <f t="shared" si="113"/>
        <v>0</v>
      </c>
      <c r="CF21" s="4">
        <f t="shared" si="114"/>
        <v>0</v>
      </c>
    </row>
    <row r="22" spans="1:94" s="4" customFormat="1" hidden="1" x14ac:dyDescent="0.2">
      <c r="B22" s="2"/>
      <c r="C22" s="4" t="s">
        <v>87</v>
      </c>
      <c r="E22" s="36">
        <f>D41-E41</f>
        <v>0</v>
      </c>
      <c r="F22" s="4">
        <f>D41-F41</f>
        <v>0</v>
      </c>
      <c r="G22" s="8">
        <f t="shared" si="60"/>
        <v>0</v>
      </c>
      <c r="H22" s="7">
        <f t="shared" si="115"/>
        <v>0</v>
      </c>
      <c r="I22" s="4">
        <f t="shared" si="115"/>
        <v>0</v>
      </c>
      <c r="J22" s="8">
        <f t="shared" si="61"/>
        <v>0</v>
      </c>
      <c r="K22" s="7">
        <f t="shared" si="116"/>
        <v>0</v>
      </c>
      <c r="L22" s="4">
        <f t="shared" si="116"/>
        <v>0</v>
      </c>
      <c r="M22" s="8">
        <f t="shared" si="62"/>
        <v>0</v>
      </c>
      <c r="N22" s="7">
        <f t="shared" si="117"/>
        <v>0</v>
      </c>
      <c r="O22" s="4">
        <f t="shared" si="117"/>
        <v>0</v>
      </c>
      <c r="P22" s="8">
        <f t="shared" si="63"/>
        <v>0</v>
      </c>
      <c r="Q22" s="7">
        <f t="shared" si="118"/>
        <v>0</v>
      </c>
      <c r="R22" s="4">
        <f t="shared" si="118"/>
        <v>0</v>
      </c>
      <c r="S22" s="8">
        <f t="shared" si="64"/>
        <v>0</v>
      </c>
      <c r="T22" s="7">
        <f t="shared" si="119"/>
        <v>0</v>
      </c>
      <c r="U22" s="4">
        <f t="shared" si="119"/>
        <v>0</v>
      </c>
      <c r="V22" s="8">
        <f t="shared" si="65"/>
        <v>0</v>
      </c>
      <c r="W22" s="7">
        <f t="shared" si="120"/>
        <v>0</v>
      </c>
      <c r="X22" s="4">
        <f t="shared" si="120"/>
        <v>0</v>
      </c>
      <c r="Y22" s="8">
        <f t="shared" si="66"/>
        <v>0</v>
      </c>
      <c r="Z22" s="7">
        <f t="shared" si="121"/>
        <v>0</v>
      </c>
      <c r="AA22" s="4">
        <f t="shared" si="121"/>
        <v>0</v>
      </c>
      <c r="AB22" s="8">
        <f t="shared" si="67"/>
        <v>0</v>
      </c>
      <c r="AC22" s="7">
        <f t="shared" si="122"/>
        <v>0</v>
      </c>
      <c r="AD22" s="4">
        <f t="shared" si="122"/>
        <v>0</v>
      </c>
      <c r="AE22" s="8">
        <f t="shared" si="68"/>
        <v>0</v>
      </c>
      <c r="AF22" s="7">
        <f t="shared" si="123"/>
        <v>0</v>
      </c>
      <c r="AG22" s="4">
        <f t="shared" si="123"/>
        <v>0</v>
      </c>
      <c r="AH22" s="8">
        <f t="shared" si="69"/>
        <v>0</v>
      </c>
      <c r="AI22" s="7">
        <f t="shared" si="124"/>
        <v>0</v>
      </c>
      <c r="AJ22" s="4">
        <f t="shared" si="124"/>
        <v>0</v>
      </c>
      <c r="AK22" s="8">
        <f t="shared" si="70"/>
        <v>0</v>
      </c>
      <c r="AL22" s="7">
        <f t="shared" si="125"/>
        <v>0</v>
      </c>
      <c r="AM22" s="1">
        <f t="shared" si="125"/>
        <v>0</v>
      </c>
      <c r="AN22" s="8">
        <f t="shared" si="71"/>
        <v>0</v>
      </c>
      <c r="AO22" s="73">
        <f t="shared" si="73"/>
        <v>0</v>
      </c>
      <c r="AP22" s="80">
        <f t="shared" si="74"/>
        <v>0</v>
      </c>
      <c r="AQ22" s="22">
        <f t="shared" si="75"/>
        <v>0</v>
      </c>
      <c r="AR22" s="7" t="str">
        <f t="shared" si="76"/>
        <v>Ændring skyldig moms</v>
      </c>
      <c r="AT22" s="22">
        <v>4554</v>
      </c>
      <c r="AU22" s="88">
        <f>INDEX(AW22:BH22,1,$I$1)</f>
        <v>0</v>
      </c>
      <c r="AV22" s="22">
        <f t="shared" si="78"/>
        <v>-4554</v>
      </c>
      <c r="AW22" s="4">
        <f t="shared" si="79"/>
        <v>0</v>
      </c>
      <c r="AX22" s="4">
        <f t="shared" si="80"/>
        <v>0</v>
      </c>
      <c r="AY22" s="4">
        <f t="shared" si="81"/>
        <v>0</v>
      </c>
      <c r="AZ22" s="4">
        <f t="shared" si="82"/>
        <v>0</v>
      </c>
      <c r="BA22" s="4">
        <f t="shared" si="83"/>
        <v>0</v>
      </c>
      <c r="BB22" s="4">
        <f t="shared" si="84"/>
        <v>0</v>
      </c>
      <c r="BC22" s="4">
        <f t="shared" si="85"/>
        <v>0</v>
      </c>
      <c r="BD22" s="4">
        <f t="shared" si="86"/>
        <v>0</v>
      </c>
      <c r="BE22" s="4">
        <f t="shared" si="87"/>
        <v>0</v>
      </c>
      <c r="BF22" s="4">
        <f>AL22+AI22+AG22+AD22+AA22+X22+U22+R22+O22+L22+I22+F22</f>
        <v>0</v>
      </c>
      <c r="BG22" s="4">
        <f t="shared" si="89"/>
        <v>0</v>
      </c>
      <c r="BH22" s="4">
        <f t="shared" si="90"/>
        <v>0</v>
      </c>
      <c r="BI22" s="4">
        <f t="shared" si="91"/>
        <v>0</v>
      </c>
      <c r="BJ22" s="4">
        <f t="shared" si="92"/>
        <v>0</v>
      </c>
      <c r="BK22" s="4">
        <f t="shared" si="93"/>
        <v>0</v>
      </c>
      <c r="BL22" s="4">
        <f t="shared" si="94"/>
        <v>0</v>
      </c>
      <c r="BM22" s="4">
        <f t="shared" si="95"/>
        <v>0</v>
      </c>
      <c r="BN22" s="4">
        <f t="shared" si="96"/>
        <v>0</v>
      </c>
      <c r="BO22" s="4">
        <f t="shared" si="97"/>
        <v>0</v>
      </c>
      <c r="BP22" s="4">
        <f t="shared" si="98"/>
        <v>0</v>
      </c>
      <c r="BQ22" s="4">
        <f t="shared" si="99"/>
        <v>0</v>
      </c>
      <c r="BR22" s="4">
        <f t="shared" si="100"/>
        <v>0</v>
      </c>
      <c r="BS22" s="4">
        <f t="shared" si="101"/>
        <v>0</v>
      </c>
      <c r="BT22" s="4">
        <f t="shared" si="102"/>
        <v>0</v>
      </c>
      <c r="BU22" s="4">
        <f t="shared" si="103"/>
        <v>0</v>
      </c>
      <c r="BV22" s="4">
        <f t="shared" si="104"/>
        <v>0</v>
      </c>
      <c r="BW22" s="4">
        <f t="shared" si="105"/>
        <v>0</v>
      </c>
      <c r="BX22" s="4">
        <f t="shared" si="106"/>
        <v>0</v>
      </c>
      <c r="BY22" s="4">
        <f t="shared" si="107"/>
        <v>0</v>
      </c>
      <c r="BZ22" s="4">
        <f t="shared" si="108"/>
        <v>0</v>
      </c>
      <c r="CA22" s="4">
        <f t="shared" si="109"/>
        <v>0</v>
      </c>
      <c r="CB22" s="4">
        <f t="shared" si="110"/>
        <v>0</v>
      </c>
      <c r="CC22" s="4">
        <f t="shared" si="111"/>
        <v>0</v>
      </c>
      <c r="CD22" s="4">
        <f t="shared" si="112"/>
        <v>0</v>
      </c>
      <c r="CE22" s="4">
        <f t="shared" si="113"/>
        <v>0</v>
      </c>
      <c r="CF22" s="4">
        <f t="shared" si="114"/>
        <v>0</v>
      </c>
    </row>
    <row r="23" spans="1:94" s="4" customFormat="1" hidden="1" x14ac:dyDescent="0.2">
      <c r="B23" s="2"/>
      <c r="C23" s="4" t="s">
        <v>88</v>
      </c>
      <c r="E23" s="36">
        <f>D42-E42</f>
        <v>0</v>
      </c>
      <c r="F23" s="4">
        <f>F42-D42</f>
        <v>0</v>
      </c>
      <c r="G23" s="8">
        <f t="shared" si="60"/>
        <v>0</v>
      </c>
      <c r="H23" s="7">
        <f>E42-H42</f>
        <v>0</v>
      </c>
      <c r="I23" s="4">
        <f>I42-F42</f>
        <v>0</v>
      </c>
      <c r="J23" s="8">
        <f t="shared" si="61"/>
        <v>0</v>
      </c>
      <c r="K23" s="7">
        <f>H42-K42</f>
        <v>0</v>
      </c>
      <c r="L23" s="4">
        <f>L42-I42</f>
        <v>0</v>
      </c>
      <c r="M23" s="8">
        <f t="shared" si="62"/>
        <v>0</v>
      </c>
      <c r="N23" s="7">
        <f>K42-N42</f>
        <v>0</v>
      </c>
      <c r="O23" s="4">
        <f>O42-L42</f>
        <v>0</v>
      </c>
      <c r="P23" s="8">
        <f t="shared" si="63"/>
        <v>0</v>
      </c>
      <c r="Q23" s="7">
        <f>N42-Q42</f>
        <v>0</v>
      </c>
      <c r="R23" s="4">
        <f>-R42+O42</f>
        <v>0</v>
      </c>
      <c r="S23" s="8">
        <f t="shared" si="64"/>
        <v>0</v>
      </c>
      <c r="T23" s="7">
        <f>Q42-T42</f>
        <v>0</v>
      </c>
      <c r="U23" s="4">
        <f>-U42+R42</f>
        <v>0</v>
      </c>
      <c r="V23" s="8">
        <f t="shared" si="65"/>
        <v>0</v>
      </c>
      <c r="W23" s="7">
        <f>T42-W42</f>
        <v>0</v>
      </c>
      <c r="X23" s="4">
        <f>-X42+U42</f>
        <v>0</v>
      </c>
      <c r="Y23" s="8">
        <f t="shared" si="66"/>
        <v>0</v>
      </c>
      <c r="Z23" s="7">
        <f>W42-Z42</f>
        <v>0</v>
      </c>
      <c r="AA23" s="4">
        <f>-AA42+X42</f>
        <v>0</v>
      </c>
      <c r="AB23" s="8">
        <f t="shared" si="67"/>
        <v>0</v>
      </c>
      <c r="AC23" s="7">
        <f>Z42-AC42</f>
        <v>0</v>
      </c>
      <c r="AD23" s="4">
        <f>-AD42+AA42</f>
        <v>0</v>
      </c>
      <c r="AE23" s="8">
        <f t="shared" si="68"/>
        <v>0</v>
      </c>
      <c r="AF23" s="7">
        <f>AC42-AF42</f>
        <v>0</v>
      </c>
      <c r="AG23" s="4">
        <f>-AG42+AD42</f>
        <v>0</v>
      </c>
      <c r="AH23" s="8">
        <f t="shared" si="69"/>
        <v>0</v>
      </c>
      <c r="AI23" s="7">
        <f>AF42-AI42</f>
        <v>0</v>
      </c>
      <c r="AJ23" s="4">
        <f>-AJ42+AG42</f>
        <v>0</v>
      </c>
      <c r="AK23" s="8">
        <f t="shared" si="70"/>
        <v>0</v>
      </c>
      <c r="AL23" s="7">
        <f>AI42-AL42</f>
        <v>0</v>
      </c>
      <c r="AM23" s="1">
        <f>-AM42+AJ42</f>
        <v>0</v>
      </c>
      <c r="AN23" s="8">
        <f t="shared" si="71"/>
        <v>0</v>
      </c>
      <c r="AO23" s="73">
        <f t="shared" si="73"/>
        <v>0</v>
      </c>
      <c r="AP23" s="80">
        <f t="shared" si="74"/>
        <v>0</v>
      </c>
      <c r="AQ23" s="22">
        <f t="shared" si="75"/>
        <v>0</v>
      </c>
      <c r="AR23" s="7" t="str">
        <f t="shared" si="76"/>
        <v>Ændring skyldige lønomkostninger</v>
      </c>
      <c r="AT23" s="22">
        <f>BT23</f>
        <v>0</v>
      </c>
      <c r="AU23" s="88">
        <f t="shared" si="77"/>
        <v>0</v>
      </c>
      <c r="AV23" s="22">
        <f t="shared" si="78"/>
        <v>0</v>
      </c>
      <c r="AW23" s="4">
        <f t="shared" si="79"/>
        <v>0</v>
      </c>
      <c r="AX23" s="4">
        <f t="shared" si="80"/>
        <v>0</v>
      </c>
      <c r="AY23" s="4">
        <f t="shared" si="81"/>
        <v>0</v>
      </c>
      <c r="AZ23" s="4">
        <f t="shared" si="82"/>
        <v>0</v>
      </c>
      <c r="BA23" s="4">
        <f t="shared" si="83"/>
        <v>0</v>
      </c>
      <c r="BB23" s="4">
        <f t="shared" si="84"/>
        <v>0</v>
      </c>
      <c r="BC23" s="4">
        <f t="shared" si="85"/>
        <v>0</v>
      </c>
      <c r="BD23" s="4">
        <f t="shared" si="86"/>
        <v>0</v>
      </c>
      <c r="BE23" s="4">
        <f t="shared" si="87"/>
        <v>0</v>
      </c>
      <c r="BF23" s="4">
        <f t="shared" si="88"/>
        <v>0</v>
      </c>
      <c r="BG23" s="4">
        <f t="shared" si="89"/>
        <v>0</v>
      </c>
      <c r="BH23" s="4">
        <f t="shared" si="90"/>
        <v>0</v>
      </c>
      <c r="BI23" s="4">
        <f t="shared" si="91"/>
        <v>0</v>
      </c>
      <c r="BJ23" s="4">
        <f t="shared" si="92"/>
        <v>0</v>
      </c>
      <c r="BK23" s="4">
        <f t="shared" si="93"/>
        <v>0</v>
      </c>
      <c r="BL23" s="4">
        <f t="shared" si="94"/>
        <v>0</v>
      </c>
      <c r="BM23" s="4">
        <f t="shared" si="95"/>
        <v>0</v>
      </c>
      <c r="BN23" s="4">
        <f t="shared" si="96"/>
        <v>0</v>
      </c>
      <c r="BO23" s="4">
        <f t="shared" si="97"/>
        <v>0</v>
      </c>
      <c r="BP23" s="4">
        <f t="shared" si="98"/>
        <v>0</v>
      </c>
      <c r="BQ23" s="4">
        <f t="shared" si="99"/>
        <v>0</v>
      </c>
      <c r="BR23" s="4">
        <f t="shared" si="100"/>
        <v>0</v>
      </c>
      <c r="BS23" s="4">
        <f t="shared" si="101"/>
        <v>0</v>
      </c>
      <c r="BT23" s="4">
        <f t="shared" si="102"/>
        <v>0</v>
      </c>
      <c r="BU23" s="4">
        <f t="shared" si="103"/>
        <v>0</v>
      </c>
      <c r="BV23" s="4">
        <f t="shared" si="104"/>
        <v>0</v>
      </c>
      <c r="BW23" s="4">
        <f t="shared" si="105"/>
        <v>0</v>
      </c>
      <c r="BX23" s="4">
        <f t="shared" si="106"/>
        <v>0</v>
      </c>
      <c r="BY23" s="4">
        <f t="shared" si="107"/>
        <v>0</v>
      </c>
      <c r="BZ23" s="4">
        <f t="shared" si="108"/>
        <v>0</v>
      </c>
      <c r="CA23" s="4">
        <f t="shared" si="109"/>
        <v>0</v>
      </c>
      <c r="CB23" s="4">
        <f t="shared" si="110"/>
        <v>0</v>
      </c>
      <c r="CC23" s="4">
        <f t="shared" si="111"/>
        <v>0</v>
      </c>
      <c r="CD23" s="4">
        <f t="shared" si="112"/>
        <v>0</v>
      </c>
      <c r="CE23" s="4">
        <f t="shared" si="113"/>
        <v>0</v>
      </c>
      <c r="CF23" s="4">
        <f t="shared" si="114"/>
        <v>0</v>
      </c>
    </row>
    <row r="24" spans="1:94" s="4" customFormat="1" hidden="1" x14ac:dyDescent="0.2">
      <c r="B24" s="2"/>
      <c r="E24" s="36"/>
      <c r="G24" s="8"/>
      <c r="H24" s="7"/>
      <c r="J24" s="8">
        <f t="shared" si="61"/>
        <v>0</v>
      </c>
      <c r="K24" s="7"/>
      <c r="M24" s="8"/>
      <c r="N24" s="7"/>
      <c r="P24" s="8"/>
      <c r="Q24" s="7"/>
      <c r="S24" s="8"/>
      <c r="T24" s="7"/>
      <c r="V24" s="8"/>
      <c r="W24" s="7"/>
      <c r="Y24" s="8">
        <f t="shared" si="66"/>
        <v>0</v>
      </c>
      <c r="Z24" s="7"/>
      <c r="AB24" s="8">
        <f t="shared" si="67"/>
        <v>0</v>
      </c>
      <c r="AC24" s="7"/>
      <c r="AE24" s="8">
        <f t="shared" si="68"/>
        <v>0</v>
      </c>
      <c r="AF24" s="7"/>
      <c r="AH24" s="8">
        <f t="shared" si="69"/>
        <v>0</v>
      </c>
      <c r="AI24" s="7"/>
      <c r="AK24" s="8">
        <f t="shared" si="70"/>
        <v>0</v>
      </c>
      <c r="AL24" s="7"/>
      <c r="AM24" s="1"/>
      <c r="AN24" s="8">
        <f t="shared" si="71"/>
        <v>0</v>
      </c>
      <c r="AO24" s="74">
        <f t="shared" si="72"/>
        <v>0</v>
      </c>
      <c r="AP24" s="77">
        <f t="shared" si="72"/>
        <v>0</v>
      </c>
      <c r="AQ24" s="22">
        <f t="shared" si="75"/>
        <v>0</v>
      </c>
      <c r="AR24" s="7">
        <f t="shared" si="76"/>
        <v>0</v>
      </c>
      <c r="AT24" s="22">
        <v>0</v>
      </c>
      <c r="AU24" s="88">
        <f t="shared" si="77"/>
        <v>0</v>
      </c>
      <c r="AV24" s="22">
        <f t="shared" si="78"/>
        <v>0</v>
      </c>
      <c r="AW24" s="4">
        <f t="shared" si="79"/>
        <v>0</v>
      </c>
      <c r="AX24" s="4">
        <f t="shared" si="80"/>
        <v>0</v>
      </c>
      <c r="AY24" s="4">
        <f t="shared" si="81"/>
        <v>0</v>
      </c>
      <c r="AZ24" s="4">
        <f t="shared" si="82"/>
        <v>0</v>
      </c>
      <c r="BA24" s="4">
        <f t="shared" si="83"/>
        <v>0</v>
      </c>
      <c r="BB24" s="4">
        <f t="shared" si="84"/>
        <v>0</v>
      </c>
      <c r="BC24" s="4">
        <f t="shared" si="85"/>
        <v>0</v>
      </c>
      <c r="BD24" s="4">
        <f t="shared" si="86"/>
        <v>0</v>
      </c>
      <c r="BE24" s="4">
        <f t="shared" si="87"/>
        <v>0</v>
      </c>
      <c r="BF24" s="4">
        <f t="shared" si="88"/>
        <v>0</v>
      </c>
      <c r="BG24" s="4">
        <f t="shared" si="89"/>
        <v>0</v>
      </c>
      <c r="BH24" s="4">
        <f t="shared" si="90"/>
        <v>0</v>
      </c>
    </row>
    <row r="25" spans="1:94" s="4" customFormat="1" hidden="1" x14ac:dyDescent="0.2">
      <c r="B25" s="62"/>
      <c r="C25" s="4" t="s">
        <v>6</v>
      </c>
      <c r="E25" s="36">
        <f>SUM(E15:E24)</f>
        <v>0</v>
      </c>
      <c r="F25" s="4">
        <f>SUM(F15:F24)</f>
        <v>0</v>
      </c>
      <c r="G25" s="8">
        <f t="shared" si="60"/>
        <v>0</v>
      </c>
      <c r="H25" s="7">
        <f>SUM(H15:H24)</f>
        <v>0</v>
      </c>
      <c r="I25" s="4">
        <f>SUM(I15:I24)</f>
        <v>0</v>
      </c>
      <c r="J25" s="8">
        <f t="shared" si="61"/>
        <v>0</v>
      </c>
      <c r="K25" s="7">
        <f>SUM(K15:K24)</f>
        <v>0</v>
      </c>
      <c r="L25" s="4">
        <f>SUM(L15:L24)</f>
        <v>0</v>
      </c>
      <c r="M25" s="8">
        <f t="shared" ref="M25:M26" si="130">L25-K25</f>
        <v>0</v>
      </c>
      <c r="N25" s="7">
        <f>SUM(N15:N24)</f>
        <v>0</v>
      </c>
      <c r="O25" s="4">
        <f>SUM(O15:O24)</f>
        <v>0</v>
      </c>
      <c r="P25" s="8">
        <f t="shared" ref="P25:P26" si="131">O25-N25</f>
        <v>0</v>
      </c>
      <c r="Q25" s="7">
        <f>SUM(Q15:Q24)</f>
        <v>0</v>
      </c>
      <c r="R25" s="4">
        <f>SUM(R15:R24)</f>
        <v>0</v>
      </c>
      <c r="S25" s="8">
        <f t="shared" ref="S25:S26" si="132">R25-Q25</f>
        <v>0</v>
      </c>
      <c r="T25" s="7">
        <f>SUM(T15:T24)</f>
        <v>0</v>
      </c>
      <c r="U25" s="4">
        <f>SUM(U15:U24)</f>
        <v>0</v>
      </c>
      <c r="V25" s="8">
        <f t="shared" ref="V25:V26" si="133">U25-T25</f>
        <v>0</v>
      </c>
      <c r="W25" s="7">
        <f>SUM(W15:W24)</f>
        <v>0</v>
      </c>
      <c r="X25" s="4">
        <f>SUM(X15:X24)</f>
        <v>0</v>
      </c>
      <c r="Y25" s="8">
        <f t="shared" si="66"/>
        <v>0</v>
      </c>
      <c r="Z25" s="7">
        <f>SUM(Z15:Z24)</f>
        <v>0</v>
      </c>
      <c r="AA25" s="4">
        <f>SUM(AA15:AA24)</f>
        <v>0</v>
      </c>
      <c r="AB25" s="8">
        <f t="shared" si="67"/>
        <v>0</v>
      </c>
      <c r="AC25" s="7">
        <f>SUM(AC15:AC24)</f>
        <v>0</v>
      </c>
      <c r="AD25" s="4">
        <f>SUM(AD15:AD24)</f>
        <v>0</v>
      </c>
      <c r="AE25" s="8">
        <f t="shared" si="68"/>
        <v>0</v>
      </c>
      <c r="AF25" s="7">
        <f>SUM(AF15:AF24)</f>
        <v>0</v>
      </c>
      <c r="AG25" s="4">
        <f>SUM(AG15:AG24)</f>
        <v>0</v>
      </c>
      <c r="AH25" s="8">
        <f t="shared" si="69"/>
        <v>0</v>
      </c>
      <c r="AI25" s="7">
        <f>SUM(AI15:AI24)</f>
        <v>0</v>
      </c>
      <c r="AJ25" s="4">
        <f>SUM(AJ15:AJ24)</f>
        <v>0</v>
      </c>
      <c r="AK25" s="8">
        <f t="shared" si="70"/>
        <v>0</v>
      </c>
      <c r="AL25" s="7">
        <f>SUM(AL15:AL24)</f>
        <v>0</v>
      </c>
      <c r="AM25" s="1">
        <f>SUM(AM15:AM24)</f>
        <v>0</v>
      </c>
      <c r="AN25" s="8">
        <f t="shared" si="71"/>
        <v>0</v>
      </c>
      <c r="AO25" s="73">
        <f>SUM(AO15:AO24)</f>
        <v>0</v>
      </c>
      <c r="AP25" s="80">
        <f>SUM(AP15:AP24)</f>
        <v>0</v>
      </c>
      <c r="AQ25" s="22">
        <f>AP25-AO25</f>
        <v>0</v>
      </c>
      <c r="AR25" s="7" t="s">
        <v>23</v>
      </c>
      <c r="AT25" s="22">
        <f>SUM(AT15:AT24)</f>
        <v>165140</v>
      </c>
      <c r="AU25" s="88">
        <f>SUM(AU15:AU24)</f>
        <v>0</v>
      </c>
      <c r="AV25" s="22">
        <f>AU25-AT25</f>
        <v>-165140</v>
      </c>
      <c r="AW25" s="4">
        <f t="shared" si="79"/>
        <v>0</v>
      </c>
      <c r="AX25" s="4">
        <f t="shared" si="80"/>
        <v>0</v>
      </c>
      <c r="AY25" s="4">
        <f t="shared" si="81"/>
        <v>0</v>
      </c>
      <c r="AZ25" s="4">
        <f t="shared" si="82"/>
        <v>0</v>
      </c>
      <c r="BA25" s="4">
        <f t="shared" si="83"/>
        <v>0</v>
      </c>
      <c r="BB25" s="4">
        <f t="shared" si="84"/>
        <v>0</v>
      </c>
      <c r="BC25" s="4">
        <f t="shared" si="85"/>
        <v>0</v>
      </c>
      <c r="BD25" s="4">
        <f t="shared" si="86"/>
        <v>0</v>
      </c>
      <c r="BE25" s="4">
        <f t="shared" si="87"/>
        <v>0</v>
      </c>
      <c r="BF25" s="4">
        <f t="shared" si="88"/>
        <v>0</v>
      </c>
      <c r="BG25" s="4">
        <f t="shared" si="89"/>
        <v>0</v>
      </c>
      <c r="BH25" s="4">
        <f t="shared" si="90"/>
        <v>0</v>
      </c>
    </row>
    <row r="26" spans="1:94" s="4" customFormat="1" hidden="1" x14ac:dyDescent="0.2">
      <c r="C26" s="4" t="s">
        <v>5</v>
      </c>
      <c r="E26" s="36">
        <f>IF($F$1=3,E53,E52)</f>
        <v>0</v>
      </c>
      <c r="F26" s="4">
        <f>D28+F25</f>
        <v>0</v>
      </c>
      <c r="G26" s="8">
        <f t="shared" si="60"/>
        <v>0</v>
      </c>
      <c r="H26" s="7">
        <f>IF($F$1=3,H53,H52)</f>
        <v>0</v>
      </c>
      <c r="I26" s="4">
        <f>F28+I25</f>
        <v>0</v>
      </c>
      <c r="J26" s="8">
        <f t="shared" si="61"/>
        <v>0</v>
      </c>
      <c r="K26" s="7">
        <f>IF($F$1=3,K53,K52)</f>
        <v>0</v>
      </c>
      <c r="L26" s="4">
        <f>I28+L25</f>
        <v>0</v>
      </c>
      <c r="M26" s="8">
        <f t="shared" si="130"/>
        <v>0</v>
      </c>
      <c r="N26" s="7">
        <f>IF($F$1=3,N53,N52)</f>
        <v>0</v>
      </c>
      <c r="O26" s="4">
        <f>L28+O25</f>
        <v>0</v>
      </c>
      <c r="P26" s="8">
        <f t="shared" si="131"/>
        <v>0</v>
      </c>
      <c r="Q26" s="7">
        <f>IF($F$1=3,Q53,Q52)</f>
        <v>0</v>
      </c>
      <c r="R26" s="4">
        <f>O28+R25</f>
        <v>0</v>
      </c>
      <c r="S26" s="8">
        <f t="shared" si="132"/>
        <v>0</v>
      </c>
      <c r="T26" s="7">
        <f>IF($F$1=3,T53,T52)</f>
        <v>0</v>
      </c>
      <c r="U26" s="4">
        <f>R28+U25</f>
        <v>0</v>
      </c>
      <c r="V26" s="8">
        <f t="shared" si="133"/>
        <v>0</v>
      </c>
      <c r="W26" s="7">
        <f>IF($F$1=3,W53,W52)</f>
        <v>0</v>
      </c>
      <c r="X26" s="4">
        <f>U28+X25</f>
        <v>0</v>
      </c>
      <c r="Y26" s="8">
        <f t="shared" si="66"/>
        <v>0</v>
      </c>
      <c r="Z26" s="7">
        <f>IF($F$1=3,Z53,Z52)</f>
        <v>0</v>
      </c>
      <c r="AA26" s="4">
        <f>X28+AA25</f>
        <v>0</v>
      </c>
      <c r="AB26" s="8">
        <f t="shared" si="67"/>
        <v>0</v>
      </c>
      <c r="AC26" s="7">
        <f>IF($F$1=3,AC53,AC52)</f>
        <v>0</v>
      </c>
      <c r="AD26" s="4">
        <f>AA28+AD25</f>
        <v>0</v>
      </c>
      <c r="AE26" s="8">
        <f t="shared" si="68"/>
        <v>0</v>
      </c>
      <c r="AF26" s="7">
        <f>IF($F$1=3,AF53,AF52)</f>
        <v>0</v>
      </c>
      <c r="AG26" s="4">
        <f>AD28+AG25</f>
        <v>0</v>
      </c>
      <c r="AH26" s="8">
        <f t="shared" si="69"/>
        <v>0</v>
      </c>
      <c r="AI26" s="7">
        <f>IF($F$1=3,AI53,AI52)</f>
        <v>0</v>
      </c>
      <c r="AJ26" s="4">
        <f>AG28+AJ25</f>
        <v>0</v>
      </c>
      <c r="AK26" s="8">
        <f t="shared" si="70"/>
        <v>0</v>
      </c>
      <c r="AL26" s="7">
        <f>IF($F$1=3,AL53,AL52)</f>
        <v>0</v>
      </c>
      <c r="AM26" s="1">
        <f>AJ28+AM25</f>
        <v>0</v>
      </c>
      <c r="AN26" s="8">
        <f t="shared" si="71"/>
        <v>0</v>
      </c>
      <c r="AO26" s="73"/>
      <c r="AP26" s="80"/>
      <c r="AQ26" s="22">
        <f>AO26-AP26</f>
        <v>0</v>
      </c>
      <c r="AT26" s="22"/>
      <c r="AU26" s="88"/>
      <c r="AV26" s="22">
        <f>AT26-AU26</f>
        <v>0</v>
      </c>
      <c r="AW26" s="4">
        <f>F26</f>
        <v>0</v>
      </c>
      <c r="AX26" s="4">
        <f>I26</f>
        <v>0</v>
      </c>
      <c r="AY26" s="4">
        <f>L26</f>
        <v>0</v>
      </c>
      <c r="AZ26" s="4">
        <f>O26</f>
        <v>0</v>
      </c>
      <c r="BA26" s="4">
        <f>R26</f>
        <v>0</v>
      </c>
      <c r="BB26" s="4">
        <f>U26</f>
        <v>0</v>
      </c>
      <c r="BC26" s="4">
        <f>X26</f>
        <v>0</v>
      </c>
      <c r="BD26" s="4">
        <f>AA26</f>
        <v>0</v>
      </c>
      <c r="BE26" s="4">
        <f>AD26</f>
        <v>0</v>
      </c>
      <c r="BF26" s="4">
        <f>AG26</f>
        <v>0</v>
      </c>
      <c r="BG26" s="4">
        <f>AJ26</f>
        <v>0</v>
      </c>
      <c r="BH26" s="4">
        <f>AM26</f>
        <v>0</v>
      </c>
    </row>
    <row r="27" spans="1:94" s="4" customFormat="1" hidden="1" x14ac:dyDescent="0.2">
      <c r="B27" s="2"/>
      <c r="C27" s="4" t="s">
        <v>4</v>
      </c>
      <c r="E27" s="7"/>
      <c r="F27" s="46">
        <f>F26-F28</f>
        <v>0</v>
      </c>
      <c r="G27" s="47"/>
      <c r="H27" s="48"/>
      <c r="I27" s="46">
        <f>I26-I28</f>
        <v>0</v>
      </c>
      <c r="J27" s="47"/>
      <c r="K27" s="48"/>
      <c r="L27" s="46">
        <f>L26-L28</f>
        <v>0</v>
      </c>
      <c r="M27" s="47"/>
      <c r="N27" s="48"/>
      <c r="O27" s="46">
        <f>O26-O28</f>
        <v>0</v>
      </c>
      <c r="P27" s="47"/>
      <c r="Q27" s="48"/>
      <c r="R27" s="46">
        <f>R26-R28</f>
        <v>0</v>
      </c>
      <c r="S27" s="47"/>
      <c r="T27" s="48"/>
      <c r="U27" s="46">
        <f>U26-U28</f>
        <v>0</v>
      </c>
      <c r="V27" s="47"/>
      <c r="W27" s="48"/>
      <c r="X27" s="46">
        <f>X26-X28</f>
        <v>0</v>
      </c>
      <c r="Y27" s="47"/>
      <c r="Z27" s="48"/>
      <c r="AA27" s="46">
        <f>AA26-AA28</f>
        <v>0</v>
      </c>
      <c r="AB27" s="47"/>
      <c r="AC27" s="48"/>
      <c r="AD27" s="46">
        <f>AD26-AD28</f>
        <v>0</v>
      </c>
      <c r="AE27" s="47"/>
      <c r="AF27" s="48"/>
      <c r="AG27" s="46">
        <f>AG26-AG28</f>
        <v>0</v>
      </c>
      <c r="AH27" s="47"/>
      <c r="AI27" s="48"/>
      <c r="AJ27" s="46">
        <f>AJ26-AJ28</f>
        <v>0</v>
      </c>
      <c r="AK27" s="47"/>
      <c r="AL27" s="48"/>
      <c r="AM27" s="46">
        <f>AM26-AM28</f>
        <v>0</v>
      </c>
      <c r="AN27" s="8"/>
      <c r="AO27" s="74">
        <f>AL27+AI27+AF27+AC27+Z27+W27+T27+Q27+N27+K27+H27+E27</f>
        <v>0</v>
      </c>
      <c r="AP27" s="77"/>
      <c r="AQ27" s="34">
        <f>AO27-AP27</f>
        <v>0</v>
      </c>
      <c r="AR27" s="4" t="str">
        <f>C27</f>
        <v>Diff</v>
      </c>
      <c r="AT27" s="22"/>
      <c r="AU27" s="88">
        <f>INDEX(AW27:BH27,1,$I$1)</f>
        <v>0</v>
      </c>
      <c r="AV27" s="34">
        <f>AT27-AU27</f>
        <v>0</v>
      </c>
      <c r="AW27" s="4">
        <f>F27</f>
        <v>0</v>
      </c>
      <c r="AX27" s="4">
        <f>I27</f>
        <v>0</v>
      </c>
      <c r="AY27" s="4">
        <f>L27</f>
        <v>0</v>
      </c>
      <c r="AZ27" s="4">
        <f>O27</f>
        <v>0</v>
      </c>
      <c r="BA27" s="4">
        <f>R27</f>
        <v>0</v>
      </c>
      <c r="BB27" s="4">
        <f>U27</f>
        <v>0</v>
      </c>
      <c r="BC27" s="4">
        <f>X27</f>
        <v>0</v>
      </c>
      <c r="BD27" s="4">
        <f>AA27</f>
        <v>0</v>
      </c>
      <c r="BE27" s="4">
        <f>AD27</f>
        <v>0</v>
      </c>
      <c r="BF27" s="4">
        <f>AG27</f>
        <v>0</v>
      </c>
      <c r="BG27" s="4">
        <f>AJ27</f>
        <v>0</v>
      </c>
      <c r="BH27" s="4">
        <f>AM27</f>
        <v>0</v>
      </c>
    </row>
    <row r="28" spans="1:94" s="6" customFormat="1" hidden="1" x14ac:dyDescent="0.2">
      <c r="A28" s="6" t="s">
        <v>59</v>
      </c>
      <c r="B28" s="10"/>
      <c r="D28" s="6">
        <f>SUM(D35)</f>
        <v>0</v>
      </c>
      <c r="E28" s="19" t="str">
        <f>IF(RealMaaned&lt;1,E53,"")</f>
        <v/>
      </c>
      <c r="F28" s="6">
        <f>E53</f>
        <v>0</v>
      </c>
      <c r="G28" s="18"/>
      <c r="H28" s="19" t="str">
        <f>IF(RealMaaned&lt;2,H53,"")</f>
        <v/>
      </c>
      <c r="I28" s="6">
        <f>H53</f>
        <v>0</v>
      </c>
      <c r="J28" s="18"/>
      <c r="K28" s="19"/>
      <c r="L28" s="6">
        <f>K53</f>
        <v>0</v>
      </c>
      <c r="M28" s="18"/>
      <c r="N28" s="19"/>
      <c r="O28" s="6">
        <f>N53</f>
        <v>0</v>
      </c>
      <c r="P28" s="18"/>
      <c r="Q28" s="19"/>
      <c r="R28" s="6">
        <f>Q53</f>
        <v>0</v>
      </c>
      <c r="S28" s="18"/>
      <c r="T28" s="19"/>
      <c r="U28" s="6">
        <f>T53</f>
        <v>0</v>
      </c>
      <c r="V28" s="18"/>
      <c r="W28" s="19"/>
      <c r="X28" s="6">
        <f>W53</f>
        <v>0</v>
      </c>
      <c r="Y28" s="18"/>
      <c r="Z28" s="19"/>
      <c r="AA28" s="6">
        <f>Z53</f>
        <v>0</v>
      </c>
      <c r="AB28" s="18"/>
      <c r="AC28" s="19"/>
      <c r="AD28" s="6">
        <f>AC53</f>
        <v>0</v>
      </c>
      <c r="AE28" s="18"/>
      <c r="AF28" s="19"/>
      <c r="AG28" s="6">
        <f>AF53</f>
        <v>0</v>
      </c>
      <c r="AH28" s="18"/>
      <c r="AI28" s="19"/>
      <c r="AJ28" s="6">
        <f>AI53</f>
        <v>0</v>
      </c>
      <c r="AK28" s="18"/>
      <c r="AL28" s="19"/>
      <c r="AM28" s="6">
        <f>AL53</f>
        <v>0</v>
      </c>
      <c r="AN28" s="18"/>
      <c r="AO28" s="75">
        <f>AO25+D28</f>
        <v>0</v>
      </c>
      <c r="AP28" s="81">
        <f>D28+AP25</f>
        <v>0</v>
      </c>
      <c r="AQ28" s="17">
        <f>AP28-AO28</f>
        <v>0</v>
      </c>
      <c r="AR28" s="11" t="s">
        <v>25</v>
      </c>
      <c r="AT28" s="17">
        <f>AT25-5441</f>
        <v>159699</v>
      </c>
      <c r="AU28" s="89">
        <f>AU25+AU27+D28</f>
        <v>0</v>
      </c>
      <c r="AV28" s="17">
        <f>AU28-AT28</f>
        <v>-159699</v>
      </c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</row>
    <row r="29" spans="1:94" s="4" customFormat="1" hidden="1" x14ac:dyDescent="0.2">
      <c r="B29" s="2"/>
      <c r="D29" s="16" t="s">
        <v>71</v>
      </c>
      <c r="E29" s="43">
        <v>0.5</v>
      </c>
      <c r="F29" s="44" t="str">
        <f>IF(F4&gt;0,F34/F4,"")</f>
        <v/>
      </c>
      <c r="H29" s="43">
        <v>0.5</v>
      </c>
      <c r="I29" s="44" t="str">
        <f>IF(I4&gt;0,I34/I4,"")</f>
        <v/>
      </c>
      <c r="K29" s="43">
        <v>0.5</v>
      </c>
      <c r="L29" s="44" t="str">
        <f>IF(L4&gt;0,L34/L4,"")</f>
        <v/>
      </c>
      <c r="N29" s="43">
        <v>0.5</v>
      </c>
      <c r="O29" s="44" t="str">
        <f>IF(O4&gt;0,O34/O4,"")</f>
        <v/>
      </c>
      <c r="Q29" s="43">
        <v>0.5</v>
      </c>
      <c r="R29" s="44" t="str">
        <f>IF(R4&gt;0,R34/R4,"")</f>
        <v/>
      </c>
      <c r="T29" s="43">
        <v>0.5</v>
      </c>
      <c r="U29" s="44" t="str">
        <f>IF(U4&gt;0,U34/U4,"")</f>
        <v/>
      </c>
      <c r="W29" s="43">
        <v>0.5</v>
      </c>
      <c r="X29" s="44" t="str">
        <f>IF(X4&gt;0,X34/X4,"")</f>
        <v/>
      </c>
      <c r="Z29" s="43">
        <v>0.5</v>
      </c>
      <c r="AA29" s="44" t="str">
        <f>IF(AA4&gt;0,AA34/AA4,"")</f>
        <v/>
      </c>
      <c r="AC29" s="43">
        <v>0.5</v>
      </c>
      <c r="AD29" s="44" t="str">
        <f>IF(AD4&gt;0,AD34/AD4,"")</f>
        <v/>
      </c>
      <c r="AF29" s="43">
        <v>0.5</v>
      </c>
      <c r="AG29" s="44" t="str">
        <f>IF(AG4&gt;0,AG34/AG4,"")</f>
        <v/>
      </c>
      <c r="AI29" s="43">
        <v>0.5</v>
      </c>
      <c r="AJ29" s="44" t="str">
        <f>IF(AJ4&gt;0,AJ34/AJ4,"")</f>
        <v/>
      </c>
      <c r="AL29" s="43">
        <v>0.5</v>
      </c>
      <c r="AM29" s="44" t="str">
        <f>IF(AM4&gt;0,AM34/AM4,"")</f>
        <v/>
      </c>
      <c r="AO29" s="5"/>
    </row>
    <row r="30" spans="1:94" hidden="1" x14ac:dyDescent="0.2">
      <c r="A30" s="4"/>
      <c r="C30" s="4"/>
      <c r="D30" s="16" t="s">
        <v>70</v>
      </c>
      <c r="E30" s="43">
        <v>0.8</v>
      </c>
      <c r="F30" s="44" t="str">
        <f>IF(F40&lt;&gt;0,F40/SUM(F5:F14),"")</f>
        <v/>
      </c>
      <c r="G30" s="4"/>
      <c r="H30" s="43">
        <v>0.8</v>
      </c>
      <c r="I30" s="44" t="str">
        <f>IF(I40&lt;&gt;0,I40/SUM(I5:I14),"")</f>
        <v/>
      </c>
      <c r="J30" s="4"/>
      <c r="K30" s="43">
        <v>0.8</v>
      </c>
      <c r="L30" s="44" t="str">
        <f>IF(L40&lt;&gt;0,L40/SUM(L5:L14),"")</f>
        <v/>
      </c>
      <c r="M30" s="4"/>
      <c r="N30" s="43">
        <v>0.8</v>
      </c>
      <c r="O30" s="44" t="str">
        <f>IF(O40&lt;&gt;0,O40/SUM(O5:O14),"")</f>
        <v/>
      </c>
      <c r="P30" s="4"/>
      <c r="Q30" s="43">
        <v>0.8</v>
      </c>
      <c r="R30" s="44" t="str">
        <f>IF(R40&lt;&gt;0,R40/SUM(R5:R14),"")</f>
        <v/>
      </c>
      <c r="S30" s="4"/>
      <c r="T30" s="43">
        <v>0.8</v>
      </c>
      <c r="U30" s="44" t="str">
        <f>IF(U40&lt;&gt;0,U40/SUM(U5:U14),"")</f>
        <v/>
      </c>
      <c r="V30" s="4"/>
      <c r="W30" s="43">
        <v>0.8</v>
      </c>
      <c r="X30" s="44" t="str">
        <f>IF(X40&lt;&gt;0,X40/SUM(X5:X14),"")</f>
        <v/>
      </c>
      <c r="Y30" s="4"/>
      <c r="Z30" s="43">
        <v>0.8</v>
      </c>
      <c r="AA30" s="44" t="str">
        <f>IF(AA40&lt;&gt;0,AA40/SUM(AA5:AA14),"")</f>
        <v/>
      </c>
      <c r="AB30" s="4"/>
      <c r="AC30" s="43">
        <v>0.8</v>
      </c>
      <c r="AD30" s="44" t="str">
        <f>IF(AD40&lt;&gt;0,AD40/SUM(AD5:AD14),"")</f>
        <v/>
      </c>
      <c r="AE30" s="4"/>
      <c r="AF30" s="43">
        <v>0.8</v>
      </c>
      <c r="AG30" s="44" t="str">
        <f>IF(AG40&lt;&gt;0,AG40/SUM(AG5:AG14),"")</f>
        <v/>
      </c>
      <c r="AH30" s="4"/>
      <c r="AI30" s="43">
        <v>0.8</v>
      </c>
      <c r="AJ30" s="44" t="str">
        <f>IF(AJ40&lt;&gt;0,AJ40/SUM(AJ5:AJ14),"")</f>
        <v/>
      </c>
      <c r="AK30" s="4"/>
      <c r="AL30" s="43">
        <v>0.8</v>
      </c>
      <c r="AM30" s="44" t="str">
        <f>IF(AM40&lt;&gt;0,AM40/SUM(AM5:AM14),"")</f>
        <v/>
      </c>
      <c r="AN30" s="4"/>
      <c r="AO30" s="5"/>
      <c r="AP30" s="4"/>
      <c r="AQ30" s="4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</row>
    <row r="31" spans="1:94" hidden="1" x14ac:dyDescent="0.2">
      <c r="A31" s="4"/>
      <c r="C31" s="4"/>
      <c r="D31" s="37"/>
      <c r="E31" s="112" t="s">
        <v>14</v>
      </c>
      <c r="F31" s="113"/>
      <c r="G31" s="114"/>
      <c r="H31" s="112" t="s">
        <v>15</v>
      </c>
      <c r="I31" s="113"/>
      <c r="J31" s="114"/>
      <c r="K31" s="112" t="s">
        <v>16</v>
      </c>
      <c r="L31" s="113"/>
      <c r="M31" s="114"/>
      <c r="N31" s="112" t="s">
        <v>17</v>
      </c>
      <c r="O31" s="113"/>
      <c r="P31" s="114"/>
      <c r="Q31" s="112" t="s">
        <v>0</v>
      </c>
      <c r="R31" s="113"/>
      <c r="S31" s="114"/>
      <c r="T31" s="112" t="s">
        <v>18</v>
      </c>
      <c r="U31" s="113"/>
      <c r="V31" s="114"/>
      <c r="W31" s="112" t="s">
        <v>8</v>
      </c>
      <c r="X31" s="113"/>
      <c r="Y31" s="114"/>
      <c r="Z31" s="112" t="s">
        <v>9</v>
      </c>
      <c r="AA31" s="113"/>
      <c r="AB31" s="114"/>
      <c r="AC31" s="112" t="s">
        <v>10</v>
      </c>
      <c r="AD31" s="113"/>
      <c r="AE31" s="114"/>
      <c r="AF31" s="112" t="s">
        <v>11</v>
      </c>
      <c r="AG31" s="113"/>
      <c r="AH31" s="114"/>
      <c r="AI31" s="112" t="s">
        <v>12</v>
      </c>
      <c r="AJ31" s="113"/>
      <c r="AK31" s="114"/>
      <c r="AL31" s="112" t="s">
        <v>13</v>
      </c>
      <c r="AM31" s="113"/>
      <c r="AN31" s="114"/>
      <c r="AO31" s="64"/>
      <c r="AP31" s="4"/>
      <c r="AQ31" s="4"/>
    </row>
    <row r="32" spans="1:94" s="4" customFormat="1" hidden="1" x14ac:dyDescent="0.2">
      <c r="A32" s="2"/>
      <c r="B32" s="5" t="s">
        <v>60</v>
      </c>
      <c r="D32" s="26" t="s">
        <v>61</v>
      </c>
      <c r="E32" s="31" t="s">
        <v>39</v>
      </c>
      <c r="F32" s="24" t="s">
        <v>2</v>
      </c>
      <c r="G32" s="21" t="s">
        <v>1</v>
      </c>
      <c r="H32" s="31" t="s">
        <v>40</v>
      </c>
      <c r="I32" s="24" t="s">
        <v>2</v>
      </c>
      <c r="J32" s="21" t="s">
        <v>1</v>
      </c>
      <c r="K32" s="31" t="s">
        <v>41</v>
      </c>
      <c r="L32" s="24" t="s">
        <v>2</v>
      </c>
      <c r="M32" s="21" t="s">
        <v>1</v>
      </c>
      <c r="N32" s="31" t="s">
        <v>42</v>
      </c>
      <c r="O32" s="24" t="s">
        <v>2</v>
      </c>
      <c r="P32" s="21" t="s">
        <v>1</v>
      </c>
      <c r="Q32" s="31" t="s">
        <v>43</v>
      </c>
      <c r="R32" s="24" t="s">
        <v>2</v>
      </c>
      <c r="S32" s="21" t="s">
        <v>1</v>
      </c>
      <c r="T32" s="31" t="s">
        <v>44</v>
      </c>
      <c r="U32" s="24" t="s">
        <v>2</v>
      </c>
      <c r="V32" s="21" t="s">
        <v>1</v>
      </c>
      <c r="W32" s="31" t="s">
        <v>45</v>
      </c>
      <c r="X32" s="24" t="s">
        <v>2</v>
      </c>
      <c r="Y32" s="21" t="s">
        <v>1</v>
      </c>
      <c r="Z32" s="31" t="s">
        <v>46</v>
      </c>
      <c r="AA32" s="24" t="s">
        <v>2</v>
      </c>
      <c r="AB32" s="21" t="s">
        <v>1</v>
      </c>
      <c r="AC32" s="31" t="s">
        <v>47</v>
      </c>
      <c r="AD32" s="24" t="s">
        <v>2</v>
      </c>
      <c r="AE32" s="21" t="s">
        <v>1</v>
      </c>
      <c r="AF32" s="31" t="s">
        <v>48</v>
      </c>
      <c r="AG32" s="24" t="s">
        <v>2</v>
      </c>
      <c r="AH32" s="21" t="s">
        <v>1</v>
      </c>
      <c r="AI32" s="31" t="s">
        <v>49</v>
      </c>
      <c r="AJ32" s="24" t="s">
        <v>2</v>
      </c>
      <c r="AK32" s="21" t="s">
        <v>1</v>
      </c>
      <c r="AL32" s="32" t="s">
        <v>50</v>
      </c>
      <c r="AM32" s="20" t="s">
        <v>2</v>
      </c>
      <c r="AN32" s="39" t="s">
        <v>1</v>
      </c>
      <c r="AO32" s="64"/>
      <c r="AR32" s="5"/>
      <c r="AS32" s="5"/>
      <c r="AU32" s="99"/>
      <c r="AV32" s="1"/>
      <c r="AW32" s="33" t="s">
        <v>24</v>
      </c>
      <c r="AX32" s="33" t="s">
        <v>27</v>
      </c>
      <c r="AY32" s="33" t="s">
        <v>28</v>
      </c>
      <c r="AZ32" s="33" t="s">
        <v>29</v>
      </c>
      <c r="BA32" s="33" t="s">
        <v>30</v>
      </c>
      <c r="BB32" s="33" t="s">
        <v>0</v>
      </c>
      <c r="BC32" s="33" t="s">
        <v>31</v>
      </c>
      <c r="BD32" s="33" t="s">
        <v>32</v>
      </c>
      <c r="BE32" s="33" t="s">
        <v>33</v>
      </c>
      <c r="BF32" s="33" t="s">
        <v>34</v>
      </c>
      <c r="BG32" s="33" t="s">
        <v>35</v>
      </c>
      <c r="BH32" s="33" t="s">
        <v>36</v>
      </c>
      <c r="BI32" s="33" t="s">
        <v>37</v>
      </c>
    </row>
    <row r="33" spans="1:62" s="4" customFormat="1" hidden="1" x14ac:dyDescent="0.2">
      <c r="A33" s="2"/>
      <c r="B33" s="4" t="s">
        <v>73</v>
      </c>
      <c r="D33" s="52"/>
      <c r="E33" s="51"/>
      <c r="F33" s="40"/>
      <c r="G33" s="93">
        <f t="shared" ref="G33:G43" si="134">E33-F33</f>
        <v>0</v>
      </c>
      <c r="H33" s="51"/>
      <c r="I33" s="40"/>
      <c r="J33" s="93">
        <f t="shared" ref="J33:J42" si="135">H33-I33</f>
        <v>0</v>
      </c>
      <c r="K33" s="51"/>
      <c r="L33" s="40"/>
      <c r="M33" s="93">
        <f t="shared" ref="M33:M42" si="136">K33-L33</f>
        <v>0</v>
      </c>
      <c r="N33" s="51"/>
      <c r="O33" s="40"/>
      <c r="P33" s="93">
        <f t="shared" ref="P33:P42" si="137">N33-O33</f>
        <v>0</v>
      </c>
      <c r="Q33" s="51"/>
      <c r="R33" s="40"/>
      <c r="S33" s="93">
        <f t="shared" ref="S33:S42" si="138">Q33-R33</f>
        <v>0</v>
      </c>
      <c r="T33" s="51"/>
      <c r="U33" s="40"/>
      <c r="V33" s="93">
        <f t="shared" ref="V33:V42" si="139">T33-U33</f>
        <v>0</v>
      </c>
      <c r="W33" s="51"/>
      <c r="X33" s="40"/>
      <c r="Y33" s="93">
        <f t="shared" ref="Y33:Y42" si="140">W33-X33</f>
        <v>0</v>
      </c>
      <c r="Z33" s="51"/>
      <c r="AA33" s="40"/>
      <c r="AB33" s="93">
        <f t="shared" ref="AB33:AB42" si="141">Z33-AA33</f>
        <v>0</v>
      </c>
      <c r="AC33" s="51"/>
      <c r="AD33" s="40"/>
      <c r="AE33" s="93">
        <f t="shared" ref="AE33:AE42" si="142">AC33-AD33</f>
        <v>0</v>
      </c>
      <c r="AF33" s="51"/>
      <c r="AG33" s="40"/>
      <c r="AH33" s="93">
        <f t="shared" ref="AH33:AH42" si="143">AF33-AG33</f>
        <v>0</v>
      </c>
      <c r="AI33" s="51"/>
      <c r="AJ33" s="40"/>
      <c r="AK33" s="93">
        <f t="shared" ref="AK33:AK42" si="144">AI33-AJ33</f>
        <v>0</v>
      </c>
      <c r="AL33" s="51"/>
      <c r="AM33" s="40"/>
      <c r="AN33" s="93">
        <f t="shared" ref="AN33:AN42" si="145">AL33-AM33</f>
        <v>0</v>
      </c>
      <c r="AO33" s="64"/>
      <c r="AU33" s="1"/>
      <c r="AV33" s="100"/>
      <c r="AW33" s="1">
        <f>D52</f>
        <v>0</v>
      </c>
      <c r="AX33" s="1">
        <f>E52</f>
        <v>0</v>
      </c>
      <c r="AY33" s="1">
        <f>H52</f>
        <v>0</v>
      </c>
      <c r="AZ33" s="1">
        <f>K52</f>
        <v>0</v>
      </c>
      <c r="BA33" s="1">
        <f>N52</f>
        <v>0</v>
      </c>
      <c r="BB33" s="1">
        <f>Q52</f>
        <v>0</v>
      </c>
      <c r="BC33" s="1">
        <f>T52</f>
        <v>0</v>
      </c>
      <c r="BD33" s="1">
        <f>W52</f>
        <v>0</v>
      </c>
      <c r="BE33" s="1">
        <f>Z52</f>
        <v>0</v>
      </c>
      <c r="BF33" s="1">
        <f>AC52</f>
        <v>0</v>
      </c>
      <c r="BG33" s="1">
        <f>AF52</f>
        <v>0</v>
      </c>
      <c r="BH33" s="1">
        <f>AI52</f>
        <v>0</v>
      </c>
      <c r="BI33" s="1">
        <f>AL52</f>
        <v>0</v>
      </c>
      <c r="BJ33" s="4" t="s">
        <v>66</v>
      </c>
    </row>
    <row r="34" spans="1:62" s="4" customFormat="1" hidden="1" x14ac:dyDescent="0.2">
      <c r="A34" s="2"/>
      <c r="B34" s="4" t="s">
        <v>74</v>
      </c>
      <c r="D34" s="41"/>
      <c r="E34" s="55"/>
      <c r="F34" s="41"/>
      <c r="G34" s="93">
        <f t="shared" si="134"/>
        <v>0</v>
      </c>
      <c r="H34" s="55">
        <f>H4*H29</f>
        <v>0</v>
      </c>
      <c r="I34" s="41"/>
      <c r="J34" s="93">
        <f t="shared" si="135"/>
        <v>0</v>
      </c>
      <c r="K34" s="55">
        <f>K4*K29</f>
        <v>0</v>
      </c>
      <c r="L34" s="41"/>
      <c r="M34" s="93">
        <f t="shared" si="136"/>
        <v>0</v>
      </c>
      <c r="N34" s="55">
        <f>N4*N29</f>
        <v>0</v>
      </c>
      <c r="O34" s="41"/>
      <c r="P34" s="93">
        <f t="shared" si="137"/>
        <v>0</v>
      </c>
      <c r="Q34" s="55">
        <f>Q4*Q29</f>
        <v>0</v>
      </c>
      <c r="R34" s="41"/>
      <c r="S34" s="93">
        <f t="shared" si="138"/>
        <v>0</v>
      </c>
      <c r="T34" s="55">
        <f>T4*T29</f>
        <v>0</v>
      </c>
      <c r="U34" s="41"/>
      <c r="V34" s="93">
        <f t="shared" si="139"/>
        <v>0</v>
      </c>
      <c r="W34" s="55">
        <f>W4*W29</f>
        <v>0</v>
      </c>
      <c r="X34" s="41"/>
      <c r="Y34" s="93">
        <f t="shared" si="140"/>
        <v>0</v>
      </c>
      <c r="Z34" s="55">
        <f>Z4*Z29</f>
        <v>0</v>
      </c>
      <c r="AA34" s="41"/>
      <c r="AB34" s="93">
        <f t="shared" si="141"/>
        <v>0</v>
      </c>
      <c r="AC34" s="55">
        <f>AC4*AC29</f>
        <v>0</v>
      </c>
      <c r="AD34" s="41"/>
      <c r="AE34" s="93">
        <f t="shared" si="142"/>
        <v>0</v>
      </c>
      <c r="AF34" s="55">
        <f>AF4*AF29</f>
        <v>0</v>
      </c>
      <c r="AG34" s="41"/>
      <c r="AH34" s="93">
        <f t="shared" si="143"/>
        <v>0</v>
      </c>
      <c r="AI34" s="55">
        <f>AI4*AI29</f>
        <v>0</v>
      </c>
      <c r="AJ34" s="41"/>
      <c r="AK34" s="93">
        <f t="shared" si="144"/>
        <v>0</v>
      </c>
      <c r="AL34" s="55">
        <f>AL4*AL29</f>
        <v>0</v>
      </c>
      <c r="AM34" s="41"/>
      <c r="AN34" s="93">
        <f t="shared" si="145"/>
        <v>0</v>
      </c>
      <c r="AO34" s="64"/>
      <c r="AU34" s="1"/>
      <c r="AV34" s="101"/>
      <c r="AW34" s="1">
        <f>D53</f>
        <v>0</v>
      </c>
      <c r="AX34" s="1">
        <f>E53</f>
        <v>0</v>
      </c>
      <c r="AY34" s="1">
        <f>H53</f>
        <v>0</v>
      </c>
      <c r="AZ34" s="1">
        <f>K53</f>
        <v>0</v>
      </c>
      <c r="BA34" s="1">
        <f>N53</f>
        <v>0</v>
      </c>
      <c r="BB34" s="1">
        <f>Q53</f>
        <v>0</v>
      </c>
      <c r="BC34" s="1">
        <f>T53</f>
        <v>0</v>
      </c>
      <c r="BD34" s="1">
        <f>W53</f>
        <v>0</v>
      </c>
      <c r="BE34" s="1">
        <f>Z53</f>
        <v>0</v>
      </c>
      <c r="BF34" s="1">
        <f>AC53</f>
        <v>0</v>
      </c>
      <c r="BG34" s="1">
        <f>AF53</f>
        <v>0</v>
      </c>
      <c r="BH34" s="1">
        <f>AI53</f>
        <v>0</v>
      </c>
      <c r="BI34" s="1">
        <f>AL53</f>
        <v>0</v>
      </c>
      <c r="BJ34" s="4" t="s">
        <v>67</v>
      </c>
    </row>
    <row r="35" spans="1:62" s="4" customFormat="1" hidden="1" x14ac:dyDescent="0.2">
      <c r="A35" s="2"/>
      <c r="B35" s="1" t="s">
        <v>75</v>
      </c>
      <c r="C35" s="1"/>
      <c r="D35" s="42"/>
      <c r="E35" s="56">
        <f>E26</f>
        <v>0</v>
      </c>
      <c r="F35" s="42"/>
      <c r="G35" s="93">
        <f t="shared" si="134"/>
        <v>0</v>
      </c>
      <c r="H35" s="56">
        <f>H26</f>
        <v>0</v>
      </c>
      <c r="I35" s="42"/>
      <c r="J35" s="93">
        <f t="shared" si="135"/>
        <v>0</v>
      </c>
      <c r="K35" s="56">
        <f>K26</f>
        <v>0</v>
      </c>
      <c r="L35" s="42"/>
      <c r="M35" s="93">
        <f t="shared" si="136"/>
        <v>0</v>
      </c>
      <c r="N35" s="56">
        <f>N26</f>
        <v>0</v>
      </c>
      <c r="O35" s="42"/>
      <c r="P35" s="93">
        <f t="shared" si="137"/>
        <v>0</v>
      </c>
      <c r="Q35" s="56">
        <f>Q26</f>
        <v>0</v>
      </c>
      <c r="R35" s="42"/>
      <c r="S35" s="93">
        <f t="shared" si="138"/>
        <v>0</v>
      </c>
      <c r="T35" s="56">
        <f>T26</f>
        <v>0</v>
      </c>
      <c r="U35" s="42"/>
      <c r="V35" s="93">
        <f t="shared" si="139"/>
        <v>0</v>
      </c>
      <c r="W35" s="56">
        <f>W26</f>
        <v>0</v>
      </c>
      <c r="X35" s="42"/>
      <c r="Y35" s="93">
        <f t="shared" si="140"/>
        <v>0</v>
      </c>
      <c r="Z35" s="56">
        <f>Z26</f>
        <v>0</v>
      </c>
      <c r="AA35" s="42"/>
      <c r="AB35" s="93">
        <f t="shared" si="141"/>
        <v>0</v>
      </c>
      <c r="AC35" s="56">
        <f>AC26</f>
        <v>0</v>
      </c>
      <c r="AD35" s="42"/>
      <c r="AE35" s="93">
        <f t="shared" si="142"/>
        <v>0</v>
      </c>
      <c r="AF35" s="56">
        <f>AF26</f>
        <v>0</v>
      </c>
      <c r="AG35" s="42"/>
      <c r="AH35" s="93">
        <f t="shared" si="143"/>
        <v>0</v>
      </c>
      <c r="AI35" s="56">
        <f>AI26</f>
        <v>0</v>
      </c>
      <c r="AJ35" s="42"/>
      <c r="AK35" s="93">
        <f t="shared" si="144"/>
        <v>0</v>
      </c>
      <c r="AL35" s="56">
        <f>AL26</f>
        <v>0</v>
      </c>
      <c r="AM35" s="42"/>
      <c r="AN35" s="93">
        <f t="shared" si="145"/>
        <v>0</v>
      </c>
      <c r="AO35" s="53"/>
      <c r="AP35" s="1"/>
      <c r="AQ35" s="1"/>
      <c r="AU35" s="1"/>
    </row>
    <row r="36" spans="1:62" s="5" customFormat="1" hidden="1" x14ac:dyDescent="0.2">
      <c r="A36" s="2"/>
      <c r="B36" s="3" t="s">
        <v>76</v>
      </c>
      <c r="C36" s="3"/>
      <c r="D36" s="53">
        <f t="shared" ref="D36:AN36" si="146">SUM(D33:D35)</f>
        <v>0</v>
      </c>
      <c r="E36" s="57">
        <f t="shared" si="146"/>
        <v>0</v>
      </c>
      <c r="F36" s="3">
        <f t="shared" si="146"/>
        <v>0</v>
      </c>
      <c r="G36" s="94">
        <f t="shared" si="146"/>
        <v>0</v>
      </c>
      <c r="H36" s="57">
        <f t="shared" si="146"/>
        <v>0</v>
      </c>
      <c r="I36" s="3">
        <f t="shared" si="146"/>
        <v>0</v>
      </c>
      <c r="J36" s="94">
        <f t="shared" si="146"/>
        <v>0</v>
      </c>
      <c r="K36" s="57">
        <f t="shared" si="146"/>
        <v>0</v>
      </c>
      <c r="L36" s="3">
        <f t="shared" si="146"/>
        <v>0</v>
      </c>
      <c r="M36" s="94">
        <f t="shared" si="146"/>
        <v>0</v>
      </c>
      <c r="N36" s="57">
        <f t="shared" si="146"/>
        <v>0</v>
      </c>
      <c r="O36" s="3">
        <f t="shared" si="146"/>
        <v>0</v>
      </c>
      <c r="P36" s="94">
        <f t="shared" si="146"/>
        <v>0</v>
      </c>
      <c r="Q36" s="57">
        <f t="shared" si="146"/>
        <v>0</v>
      </c>
      <c r="R36" s="3">
        <f t="shared" si="146"/>
        <v>0</v>
      </c>
      <c r="S36" s="94">
        <f t="shared" si="146"/>
        <v>0</v>
      </c>
      <c r="T36" s="57">
        <f t="shared" si="146"/>
        <v>0</v>
      </c>
      <c r="U36" s="3">
        <f t="shared" si="146"/>
        <v>0</v>
      </c>
      <c r="V36" s="94">
        <f t="shared" si="146"/>
        <v>0</v>
      </c>
      <c r="W36" s="57">
        <f t="shared" si="146"/>
        <v>0</v>
      </c>
      <c r="X36" s="3">
        <f t="shared" si="146"/>
        <v>0</v>
      </c>
      <c r="Y36" s="94">
        <f t="shared" si="146"/>
        <v>0</v>
      </c>
      <c r="Z36" s="57">
        <f t="shared" si="146"/>
        <v>0</v>
      </c>
      <c r="AA36" s="3">
        <f t="shared" si="146"/>
        <v>0</v>
      </c>
      <c r="AB36" s="94">
        <f t="shared" si="146"/>
        <v>0</v>
      </c>
      <c r="AC36" s="57">
        <f t="shared" si="146"/>
        <v>0</v>
      </c>
      <c r="AD36" s="3">
        <f t="shared" si="146"/>
        <v>0</v>
      </c>
      <c r="AE36" s="94">
        <f t="shared" si="146"/>
        <v>0</v>
      </c>
      <c r="AF36" s="57">
        <f t="shared" si="146"/>
        <v>0</v>
      </c>
      <c r="AG36" s="3">
        <f t="shared" si="146"/>
        <v>0</v>
      </c>
      <c r="AH36" s="94">
        <f t="shared" si="146"/>
        <v>0</v>
      </c>
      <c r="AI36" s="57">
        <f t="shared" si="146"/>
        <v>0</v>
      </c>
      <c r="AJ36" s="3">
        <f>SUM(AJ33:AJ35)</f>
        <v>0</v>
      </c>
      <c r="AK36" s="94">
        <f t="shared" si="146"/>
        <v>0</v>
      </c>
      <c r="AL36" s="57">
        <f t="shared" si="146"/>
        <v>0</v>
      </c>
      <c r="AM36" s="3">
        <f t="shared" si="146"/>
        <v>0</v>
      </c>
      <c r="AN36" s="94">
        <f t="shared" si="146"/>
        <v>0</v>
      </c>
      <c r="AO36" s="53"/>
      <c r="AP36" s="3"/>
      <c r="AQ36" s="3"/>
      <c r="AU36" s="3"/>
    </row>
    <row r="37" spans="1:62" s="4" customFormat="1" hidden="1" x14ac:dyDescent="0.2">
      <c r="A37" s="2"/>
      <c r="B37" s="1" t="s">
        <v>77</v>
      </c>
      <c r="C37" s="1"/>
      <c r="D37" s="54"/>
      <c r="E37" s="63">
        <f>E15+E19+D37</f>
        <v>0</v>
      </c>
      <c r="F37" s="42"/>
      <c r="G37" s="93">
        <f t="shared" si="134"/>
        <v>0</v>
      </c>
      <c r="H37" s="63">
        <f>E37-H15-H19</f>
        <v>0</v>
      </c>
      <c r="I37" s="42"/>
      <c r="J37" s="93">
        <f t="shared" si="135"/>
        <v>0</v>
      </c>
      <c r="K37" s="63">
        <f>H37-K15-K19</f>
        <v>0</v>
      </c>
      <c r="L37" s="42"/>
      <c r="M37" s="93">
        <f t="shared" si="136"/>
        <v>0</v>
      </c>
      <c r="N37" s="63">
        <f>K37-N15-N19</f>
        <v>0</v>
      </c>
      <c r="O37" s="42"/>
      <c r="P37" s="93">
        <f t="shared" si="137"/>
        <v>0</v>
      </c>
      <c r="Q37" s="63">
        <f>N37-Q15-Q19</f>
        <v>0</v>
      </c>
      <c r="R37" s="42"/>
      <c r="S37" s="93">
        <f t="shared" si="138"/>
        <v>0</v>
      </c>
      <c r="T37" s="63">
        <f>Q37-T15-T19</f>
        <v>0</v>
      </c>
      <c r="U37" s="42"/>
      <c r="V37" s="93">
        <f t="shared" si="139"/>
        <v>0</v>
      </c>
      <c r="W37" s="63">
        <f>T37-W15-W19</f>
        <v>0</v>
      </c>
      <c r="X37" s="42"/>
      <c r="Y37" s="93">
        <f t="shared" si="140"/>
        <v>0</v>
      </c>
      <c r="Z37" s="63">
        <f>W37-Z15-Z19</f>
        <v>0</v>
      </c>
      <c r="AA37" s="42"/>
      <c r="AB37" s="93">
        <f t="shared" si="141"/>
        <v>0</v>
      </c>
      <c r="AC37" s="63">
        <f>Z37-AC15-AC19</f>
        <v>0</v>
      </c>
      <c r="AD37" s="42"/>
      <c r="AE37" s="93">
        <f t="shared" si="142"/>
        <v>0</v>
      </c>
      <c r="AF37" s="63">
        <f>AC37-AF15-AF19</f>
        <v>0</v>
      </c>
      <c r="AG37" s="42"/>
      <c r="AH37" s="93">
        <f t="shared" si="143"/>
        <v>0</v>
      </c>
      <c r="AI37" s="63">
        <f>AF37-AI15-AI19</f>
        <v>0</v>
      </c>
      <c r="AJ37" s="42"/>
      <c r="AK37" s="93">
        <f t="shared" si="144"/>
        <v>0</v>
      </c>
      <c r="AL37" s="63">
        <f>AI37-AL15-AL19</f>
        <v>0</v>
      </c>
      <c r="AM37" s="42"/>
      <c r="AN37" s="93">
        <f t="shared" si="145"/>
        <v>0</v>
      </c>
      <c r="AO37" s="53"/>
      <c r="AP37" s="1"/>
      <c r="AQ37" s="1"/>
      <c r="AU37" s="1"/>
    </row>
    <row r="38" spans="1:62" s="4" customFormat="1" hidden="1" x14ac:dyDescent="0.2">
      <c r="A38" s="2"/>
      <c r="B38" s="1" t="s">
        <v>106</v>
      </c>
      <c r="C38" s="1"/>
      <c r="D38" s="54"/>
      <c r="E38" s="61"/>
      <c r="F38" s="95"/>
      <c r="G38" s="96">
        <f t="shared" si="134"/>
        <v>0</v>
      </c>
      <c r="H38" s="97"/>
      <c r="I38" s="95"/>
      <c r="J38" s="96">
        <f t="shared" si="135"/>
        <v>0</v>
      </c>
      <c r="K38" s="97"/>
      <c r="L38" s="95"/>
      <c r="M38" s="96">
        <f t="shared" si="136"/>
        <v>0</v>
      </c>
      <c r="N38" s="97"/>
      <c r="O38" s="95"/>
      <c r="P38" s="96">
        <f t="shared" si="137"/>
        <v>0</v>
      </c>
      <c r="Q38" s="97"/>
      <c r="R38" s="95"/>
      <c r="S38" s="96">
        <f t="shared" si="138"/>
        <v>0</v>
      </c>
      <c r="T38" s="97"/>
      <c r="U38" s="95"/>
      <c r="V38" s="96">
        <f t="shared" si="139"/>
        <v>0</v>
      </c>
      <c r="W38" s="97"/>
      <c r="X38" s="95"/>
      <c r="Y38" s="96">
        <f t="shared" si="140"/>
        <v>0</v>
      </c>
      <c r="Z38" s="97"/>
      <c r="AA38" s="95"/>
      <c r="AB38" s="93">
        <f t="shared" si="141"/>
        <v>0</v>
      </c>
      <c r="AC38" s="61"/>
      <c r="AD38" s="95"/>
      <c r="AE38" s="93">
        <f t="shared" si="142"/>
        <v>0</v>
      </c>
      <c r="AF38" s="61"/>
      <c r="AG38" s="95"/>
      <c r="AH38" s="93">
        <f t="shared" si="143"/>
        <v>0</v>
      </c>
      <c r="AI38" s="61"/>
      <c r="AJ38" s="42"/>
      <c r="AK38" s="93">
        <f t="shared" si="144"/>
        <v>0</v>
      </c>
      <c r="AL38" s="61"/>
      <c r="AM38" s="42"/>
      <c r="AN38" s="93">
        <f t="shared" si="145"/>
        <v>0</v>
      </c>
      <c r="AO38" s="53"/>
      <c r="AP38" s="1"/>
      <c r="AQ38" s="1"/>
      <c r="AU38" s="1"/>
    </row>
    <row r="39" spans="1:62" s="4" customFormat="1" hidden="1" x14ac:dyDescent="0.2">
      <c r="A39" s="2"/>
      <c r="B39" s="1" t="s">
        <v>78</v>
      </c>
      <c r="C39" s="1"/>
      <c r="D39" s="42"/>
      <c r="E39" s="61"/>
      <c r="F39" s="42"/>
      <c r="G39" s="93">
        <f t="shared" si="134"/>
        <v>0</v>
      </c>
      <c r="H39" s="61"/>
      <c r="I39" s="42"/>
      <c r="J39" s="93">
        <f t="shared" si="135"/>
        <v>0</v>
      </c>
      <c r="K39" s="61"/>
      <c r="L39" s="42"/>
      <c r="M39" s="93">
        <f t="shared" si="136"/>
        <v>0</v>
      </c>
      <c r="N39" s="61"/>
      <c r="O39" s="42"/>
      <c r="P39" s="93">
        <f t="shared" si="137"/>
        <v>0</v>
      </c>
      <c r="Q39" s="61"/>
      <c r="R39" s="42"/>
      <c r="S39" s="93">
        <f t="shared" si="138"/>
        <v>0</v>
      </c>
      <c r="T39" s="61"/>
      <c r="U39" s="42"/>
      <c r="V39" s="93">
        <f t="shared" si="139"/>
        <v>0</v>
      </c>
      <c r="W39" s="61"/>
      <c r="X39" s="42"/>
      <c r="Y39" s="93">
        <f t="shared" si="140"/>
        <v>0</v>
      </c>
      <c r="Z39" s="61"/>
      <c r="AA39" s="42"/>
      <c r="AB39" s="93">
        <f t="shared" si="141"/>
        <v>0</v>
      </c>
      <c r="AC39" s="61"/>
      <c r="AD39" s="42"/>
      <c r="AE39" s="93">
        <f t="shared" si="142"/>
        <v>0</v>
      </c>
      <c r="AF39" s="61"/>
      <c r="AG39" s="42"/>
      <c r="AH39" s="93">
        <f t="shared" si="143"/>
        <v>0</v>
      </c>
      <c r="AI39" s="61"/>
      <c r="AJ39" s="42"/>
      <c r="AK39" s="93">
        <f t="shared" si="144"/>
        <v>0</v>
      </c>
      <c r="AL39" s="61"/>
      <c r="AM39" s="42"/>
      <c r="AN39" s="93">
        <f t="shared" si="145"/>
        <v>0</v>
      </c>
      <c r="AO39" s="53"/>
      <c r="AP39" s="1"/>
      <c r="AQ39" s="1"/>
      <c r="AU39" s="1"/>
      <c r="AW39" s="1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</row>
    <row r="40" spans="1:62" s="4" customFormat="1" hidden="1" x14ac:dyDescent="0.2">
      <c r="A40" s="2"/>
      <c r="B40" s="4" t="s">
        <v>79</v>
      </c>
      <c r="C40" s="1"/>
      <c r="D40" s="42"/>
      <c r="E40" s="61"/>
      <c r="F40" s="42"/>
      <c r="G40" s="93">
        <f t="shared" si="134"/>
        <v>0</v>
      </c>
      <c r="H40" s="61">
        <f>SUM(H9:H13)*H30</f>
        <v>0</v>
      </c>
      <c r="I40" s="42"/>
      <c r="J40" s="93">
        <f t="shared" si="135"/>
        <v>0</v>
      </c>
      <c r="K40" s="61">
        <f>SUM(K9:K13)*K30</f>
        <v>0</v>
      </c>
      <c r="L40" s="42"/>
      <c r="M40" s="93">
        <f t="shared" si="136"/>
        <v>0</v>
      </c>
      <c r="N40" s="61"/>
      <c r="O40" s="42"/>
      <c r="P40" s="93">
        <f t="shared" si="137"/>
        <v>0</v>
      </c>
      <c r="Q40" s="61"/>
      <c r="R40" s="42"/>
      <c r="S40" s="93">
        <f t="shared" si="138"/>
        <v>0</v>
      </c>
      <c r="T40" s="61"/>
      <c r="U40" s="42"/>
      <c r="V40" s="93">
        <f t="shared" si="139"/>
        <v>0</v>
      </c>
      <c r="W40" s="61"/>
      <c r="X40" s="42"/>
      <c r="Y40" s="93">
        <f t="shared" si="140"/>
        <v>0</v>
      </c>
      <c r="Z40" s="61"/>
      <c r="AA40" s="42"/>
      <c r="AB40" s="93">
        <f t="shared" si="141"/>
        <v>0</v>
      </c>
      <c r="AC40" s="61"/>
      <c r="AD40" s="42"/>
      <c r="AE40" s="93">
        <f t="shared" si="142"/>
        <v>0</v>
      </c>
      <c r="AF40" s="61"/>
      <c r="AG40" s="42"/>
      <c r="AH40" s="93">
        <f t="shared" si="143"/>
        <v>0</v>
      </c>
      <c r="AI40" s="61">
        <f>SUM(AI9:AI13)*AI30</f>
        <v>0</v>
      </c>
      <c r="AJ40" s="42"/>
      <c r="AK40" s="93">
        <f t="shared" si="144"/>
        <v>0</v>
      </c>
      <c r="AL40" s="61">
        <f>SUM(AL9:AL13)*AL30</f>
        <v>0</v>
      </c>
      <c r="AM40" s="42"/>
      <c r="AN40" s="93">
        <f t="shared" si="145"/>
        <v>0</v>
      </c>
      <c r="AO40" s="53"/>
      <c r="AP40" s="1"/>
      <c r="AQ40" s="1"/>
      <c r="AU40" s="1"/>
      <c r="AW40" s="1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</row>
    <row r="41" spans="1:62" s="4" customFormat="1" hidden="1" x14ac:dyDescent="0.2">
      <c r="A41" s="2"/>
      <c r="B41" s="4" t="s">
        <v>80</v>
      </c>
      <c r="C41" s="1"/>
      <c r="D41" s="54"/>
      <c r="E41" s="61"/>
      <c r="F41" s="42"/>
      <c r="G41" s="93">
        <f t="shared" si="134"/>
        <v>0</v>
      </c>
      <c r="H41" s="61">
        <f>H48</f>
        <v>0</v>
      </c>
      <c r="I41" s="42"/>
      <c r="J41" s="93">
        <f t="shared" si="135"/>
        <v>0</v>
      </c>
      <c r="K41" s="61">
        <f>K48</f>
        <v>0</v>
      </c>
      <c r="L41" s="42"/>
      <c r="M41" s="93">
        <f t="shared" si="136"/>
        <v>0</v>
      </c>
      <c r="N41" s="61"/>
      <c r="O41" s="42"/>
      <c r="P41" s="93">
        <f t="shared" si="137"/>
        <v>0</v>
      </c>
      <c r="Q41" s="61"/>
      <c r="R41" s="42"/>
      <c r="S41" s="93">
        <f t="shared" si="138"/>
        <v>0</v>
      </c>
      <c r="T41" s="61"/>
      <c r="U41" s="42"/>
      <c r="V41" s="93">
        <f t="shared" si="139"/>
        <v>0</v>
      </c>
      <c r="W41" s="61"/>
      <c r="X41" s="42"/>
      <c r="Y41" s="93">
        <f t="shared" si="140"/>
        <v>0</v>
      </c>
      <c r="Z41" s="61"/>
      <c r="AA41" s="42"/>
      <c r="AB41" s="93">
        <f t="shared" si="141"/>
        <v>0</v>
      </c>
      <c r="AC41" s="61"/>
      <c r="AD41" s="42"/>
      <c r="AE41" s="93">
        <f t="shared" si="142"/>
        <v>0</v>
      </c>
      <c r="AF41" s="61"/>
      <c r="AG41" s="42"/>
      <c r="AH41" s="93">
        <f t="shared" si="143"/>
        <v>0</v>
      </c>
      <c r="AI41" s="61">
        <f>AI48</f>
        <v>0</v>
      </c>
      <c r="AJ41" s="42"/>
      <c r="AK41" s="93">
        <f t="shared" si="144"/>
        <v>0</v>
      </c>
      <c r="AL41" s="61">
        <f>AL48</f>
        <v>0</v>
      </c>
      <c r="AM41" s="42"/>
      <c r="AN41" s="93">
        <f t="shared" si="145"/>
        <v>0</v>
      </c>
      <c r="AO41" s="53"/>
      <c r="AP41" s="1"/>
      <c r="AQ41" s="1"/>
      <c r="AU41" s="1"/>
      <c r="AW41" s="1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</row>
    <row r="42" spans="1:62" s="4" customFormat="1" hidden="1" x14ac:dyDescent="0.2">
      <c r="A42" s="2"/>
      <c r="B42" s="4" t="s">
        <v>81</v>
      </c>
      <c r="C42" s="1"/>
      <c r="D42" s="54"/>
      <c r="E42" s="61"/>
      <c r="F42" s="42"/>
      <c r="G42" s="93">
        <f t="shared" si="134"/>
        <v>0</v>
      </c>
      <c r="H42" s="61"/>
      <c r="I42" s="42"/>
      <c r="J42" s="93">
        <f t="shared" si="135"/>
        <v>0</v>
      </c>
      <c r="K42" s="61"/>
      <c r="L42" s="42"/>
      <c r="M42" s="93">
        <f t="shared" si="136"/>
        <v>0</v>
      </c>
      <c r="N42" s="61"/>
      <c r="O42" s="42"/>
      <c r="P42" s="93">
        <f t="shared" si="137"/>
        <v>0</v>
      </c>
      <c r="Q42" s="61"/>
      <c r="R42" s="42"/>
      <c r="S42" s="93">
        <f t="shared" si="138"/>
        <v>0</v>
      </c>
      <c r="T42" s="61"/>
      <c r="U42" s="42"/>
      <c r="V42" s="93">
        <f t="shared" si="139"/>
        <v>0</v>
      </c>
      <c r="W42" s="61"/>
      <c r="X42" s="42"/>
      <c r="Y42" s="93">
        <f t="shared" si="140"/>
        <v>0</v>
      </c>
      <c r="Z42" s="61"/>
      <c r="AA42" s="42"/>
      <c r="AB42" s="93">
        <f t="shared" si="141"/>
        <v>0</v>
      </c>
      <c r="AC42" s="61"/>
      <c r="AD42" s="42"/>
      <c r="AE42" s="93">
        <f t="shared" si="142"/>
        <v>0</v>
      </c>
      <c r="AF42" s="61"/>
      <c r="AG42" s="42"/>
      <c r="AH42" s="93">
        <f t="shared" si="143"/>
        <v>0</v>
      </c>
      <c r="AI42" s="61"/>
      <c r="AJ42" s="42"/>
      <c r="AK42" s="93">
        <f t="shared" si="144"/>
        <v>0</v>
      </c>
      <c r="AL42" s="61"/>
      <c r="AM42" s="42"/>
      <c r="AN42" s="93">
        <f t="shared" si="145"/>
        <v>0</v>
      </c>
      <c r="AO42" s="53"/>
      <c r="AP42" s="1"/>
      <c r="AQ42" s="1"/>
      <c r="AU42" s="1"/>
      <c r="AW42" s="1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</row>
    <row r="43" spans="1:62" s="5" customFormat="1" hidden="1" x14ac:dyDescent="0.2">
      <c r="A43" s="9"/>
      <c r="B43" s="5" t="s">
        <v>82</v>
      </c>
      <c r="C43" s="3"/>
      <c r="D43" s="60">
        <f>SUM(D37:D42)</f>
        <v>0</v>
      </c>
      <c r="E43" s="58">
        <f>SUM(E37:E42)-E38</f>
        <v>0</v>
      </c>
      <c r="F43" s="59">
        <f>SUM(F37:F42)-F38</f>
        <v>0</v>
      </c>
      <c r="G43" s="60">
        <f t="shared" si="134"/>
        <v>0</v>
      </c>
      <c r="H43" s="58">
        <f>SUM(H37:H42)-H38</f>
        <v>0</v>
      </c>
      <c r="I43" s="59">
        <f>SUM(I37:I42)-I38</f>
        <v>0</v>
      </c>
      <c r="J43" s="60"/>
      <c r="K43" s="58">
        <f>SUM(K37:K42)-K38</f>
        <v>0</v>
      </c>
      <c r="L43" s="59">
        <f>SUM(L37:L42)-L38</f>
        <v>0</v>
      </c>
      <c r="M43" s="60"/>
      <c r="N43" s="58">
        <f>SUM(N37:N42)-N38</f>
        <v>0</v>
      </c>
      <c r="O43" s="59">
        <f>SUM(O37:O42)-O38</f>
        <v>0</v>
      </c>
      <c r="P43" s="60"/>
      <c r="Q43" s="58">
        <f>SUM(Q37:Q42)-Q38</f>
        <v>0</v>
      </c>
      <c r="R43" s="59">
        <f>SUM(R37:R42)-R38</f>
        <v>0</v>
      </c>
      <c r="S43" s="60"/>
      <c r="T43" s="58">
        <f>SUM(T37:T42)-T38</f>
        <v>0</v>
      </c>
      <c r="U43" s="59">
        <f>SUM(U37:U42)-U38</f>
        <v>0</v>
      </c>
      <c r="V43" s="60"/>
      <c r="W43" s="58">
        <f>SUM(W37:W42)-W38</f>
        <v>0</v>
      </c>
      <c r="X43" s="59">
        <f>SUM(X37:X42)-X38</f>
        <v>0</v>
      </c>
      <c r="Y43" s="60"/>
      <c r="Z43" s="58">
        <f>SUM(Z37:Z42)-Z38</f>
        <v>0</v>
      </c>
      <c r="AA43" s="59">
        <f>SUM(AA37:AA42)-AA38</f>
        <v>0</v>
      </c>
      <c r="AB43" s="60"/>
      <c r="AC43" s="58">
        <f>SUM(AC37:AC42)-AC38</f>
        <v>0</v>
      </c>
      <c r="AD43" s="59">
        <f>SUM(AD37:AD42)-AD38</f>
        <v>0</v>
      </c>
      <c r="AE43" s="60"/>
      <c r="AF43" s="58">
        <f>SUM(AF37:AF42)-AF38</f>
        <v>0</v>
      </c>
      <c r="AG43" s="59">
        <f>SUM(AG37:AG42)-AG38</f>
        <v>0</v>
      </c>
      <c r="AH43" s="60"/>
      <c r="AI43" s="58">
        <f>SUM(AI37:AI42)-AI38</f>
        <v>0</v>
      </c>
      <c r="AJ43" s="59">
        <f>SUM(AJ37:AJ42)-AJ38</f>
        <v>0</v>
      </c>
      <c r="AK43" s="60"/>
      <c r="AL43" s="58">
        <f>SUM(AL37:AL42)-AL38</f>
        <v>0</v>
      </c>
      <c r="AM43" s="59">
        <f>SUM(AM37:AM42)-AM38</f>
        <v>0</v>
      </c>
      <c r="AN43" s="60">
        <f>SUM(AN40:AN42)</f>
        <v>0</v>
      </c>
      <c r="AO43" s="53"/>
      <c r="AP43" s="3"/>
      <c r="AQ43" s="3"/>
      <c r="AU43" s="3"/>
      <c r="AW43" s="3"/>
      <c r="AX43" s="49"/>
      <c r="AY43" s="49"/>
      <c r="AZ43" s="49"/>
      <c r="BA43" s="49"/>
      <c r="BB43" s="49"/>
      <c r="BC43" s="49"/>
      <c r="BD43" s="49"/>
      <c r="BE43" s="49"/>
      <c r="BF43" s="49"/>
      <c r="BG43" s="49"/>
      <c r="BH43" s="49"/>
      <c r="BI43" s="49"/>
    </row>
    <row r="44" spans="1:62" hidden="1" x14ac:dyDescent="0.2">
      <c r="B44" s="2" t="s">
        <v>4</v>
      </c>
      <c r="F44" s="50">
        <f>(F36+F43)*-1</f>
        <v>0</v>
      </c>
      <c r="G44" s="50"/>
      <c r="H44" s="50"/>
      <c r="I44" s="50">
        <f>(I36+I43)*-1</f>
        <v>0</v>
      </c>
      <c r="J44" s="50"/>
      <c r="K44" s="50"/>
      <c r="L44" s="50">
        <f>(L36+L43)*-1</f>
        <v>0</v>
      </c>
      <c r="M44" s="50"/>
      <c r="N44" s="50"/>
      <c r="O44" s="50">
        <f>(O36+O43)*-1</f>
        <v>0</v>
      </c>
      <c r="P44" s="50"/>
      <c r="Q44" s="50"/>
      <c r="R44" s="50">
        <f>(R36+R43)*-1</f>
        <v>0</v>
      </c>
      <c r="S44" s="50"/>
      <c r="T44" s="50"/>
      <c r="U44" s="50">
        <f>(U36+U43)*-1</f>
        <v>0</v>
      </c>
      <c r="V44" s="50"/>
      <c r="W44" s="50"/>
      <c r="X44" s="50">
        <f>(X36+X43)*-1</f>
        <v>0</v>
      </c>
      <c r="Y44" s="50"/>
      <c r="Z44" s="50"/>
      <c r="AA44" s="50">
        <f>(AA36+AA43)*-1</f>
        <v>0</v>
      </c>
      <c r="AB44" s="50"/>
      <c r="AC44" s="50"/>
      <c r="AD44" s="50">
        <f>(AD36+AD43)*-1</f>
        <v>0</v>
      </c>
      <c r="AE44" s="50"/>
      <c r="AF44" s="50"/>
      <c r="AG44" s="50">
        <f>(AG36+AG43)*-1</f>
        <v>0</v>
      </c>
      <c r="AH44" s="50"/>
      <c r="AI44" s="50"/>
      <c r="AJ44" s="50">
        <f>(AJ36+AJ43)*-1</f>
        <v>0</v>
      </c>
      <c r="AK44" s="50"/>
      <c r="AL44" s="50"/>
      <c r="AM44" s="50">
        <f>(AM36+AM43)*-1</f>
        <v>0</v>
      </c>
    </row>
    <row r="45" spans="1:62" hidden="1" x14ac:dyDescent="0.2">
      <c r="B45" s="9" t="s">
        <v>68</v>
      </c>
      <c r="C45" s="1" t="s">
        <v>51</v>
      </c>
      <c r="E45" s="30">
        <f>SUMIF($D4:$D25,"Moms",E4:E25)</f>
        <v>0</v>
      </c>
      <c r="H45" s="30">
        <f>SUMIF($D4:$D25,"Moms",H4:H25)</f>
        <v>0</v>
      </c>
      <c r="K45" s="30">
        <f>SUMIF($D4:$D25,"Moms",K4:K25)</f>
        <v>0</v>
      </c>
      <c r="N45" s="30">
        <f>SUMIF($D4:$D25,"Moms",N4:N25)</f>
        <v>0</v>
      </c>
      <c r="Q45" s="30">
        <f>SUMIF($D4:$D25,"Moms",Q4:Q25)</f>
        <v>0</v>
      </c>
      <c r="T45" s="30">
        <f>SUMIF($D4:$D25,"Moms",T4:T25)</f>
        <v>0</v>
      </c>
      <c r="W45" s="30">
        <f>SUMIF($D4:$D25,"Moms",W4:W25)</f>
        <v>0</v>
      </c>
      <c r="Z45" s="30">
        <f>SUMIF($D4:$D25,"Moms",Z4:Z25)</f>
        <v>0</v>
      </c>
      <c r="AC45" s="30">
        <f>SUMIF($D4:$D25,"Moms",AC4:AC25)</f>
        <v>0</v>
      </c>
      <c r="AF45" s="30">
        <f>SUMIF($D4:$D25,"Moms",AF4:AF25)</f>
        <v>0</v>
      </c>
      <c r="AI45" s="30">
        <f>SUMIF($D4:$D25,"Moms",AI4:AI25)</f>
        <v>0</v>
      </c>
      <c r="AL45" s="30">
        <f>SUMIF($D4:$D25,"Moms",AL4:AL25)</f>
        <v>0</v>
      </c>
    </row>
    <row r="46" spans="1:62" hidden="1" x14ac:dyDescent="0.2">
      <c r="C46" s="1" t="s">
        <v>52</v>
      </c>
      <c r="E46" s="1">
        <f>E45*0.25</f>
        <v>0</v>
      </c>
      <c r="H46" s="1">
        <f>H45*0.25</f>
        <v>0</v>
      </c>
      <c r="K46" s="1">
        <f>K45*0.25</f>
        <v>0</v>
      </c>
      <c r="N46" s="1">
        <f>N45*0.25</f>
        <v>0</v>
      </c>
      <c r="Q46" s="1">
        <f>Q45*0.25</f>
        <v>0</v>
      </c>
      <c r="T46" s="1">
        <f>T45*0.25</f>
        <v>0</v>
      </c>
      <c r="W46" s="1">
        <f>W45*0.25</f>
        <v>0</v>
      </c>
      <c r="Z46" s="1">
        <f>Z45*0.25</f>
        <v>0</v>
      </c>
      <c r="AC46" s="1">
        <f>AC45*0.25</f>
        <v>0</v>
      </c>
      <c r="AF46" s="1">
        <f>AF45*0.25</f>
        <v>0</v>
      </c>
      <c r="AI46" s="1">
        <f>AI45*0.25</f>
        <v>0</v>
      </c>
      <c r="AL46" s="1">
        <f>AL45*0.25</f>
        <v>0</v>
      </c>
      <c r="AO46" s="3" t="s">
        <v>53</v>
      </c>
    </row>
    <row r="47" spans="1:62" hidden="1" x14ac:dyDescent="0.2">
      <c r="C47" s="1" t="s">
        <v>63</v>
      </c>
      <c r="J47" s="33" t="s">
        <v>58</v>
      </c>
      <c r="K47" s="38">
        <f>D48</f>
        <v>0</v>
      </c>
      <c r="S47" s="33" t="s">
        <v>57</v>
      </c>
      <c r="T47" s="38">
        <f>SUM(E46:K46)*-1</f>
        <v>0</v>
      </c>
      <c r="AB47" s="33" t="s">
        <v>54</v>
      </c>
      <c r="AC47" s="38">
        <f>SUM(N46:T46)*-1</f>
        <v>0</v>
      </c>
      <c r="AK47" s="33" t="s">
        <v>55</v>
      </c>
      <c r="AL47" s="38">
        <f>SUM(W46:AC46)*-1</f>
        <v>0</v>
      </c>
      <c r="AN47" s="1" t="s">
        <v>56</v>
      </c>
      <c r="AO47" s="38">
        <f>SUM(AF46:AL46)*-1</f>
        <v>0</v>
      </c>
    </row>
    <row r="48" spans="1:62" hidden="1" x14ac:dyDescent="0.2">
      <c r="C48" s="1" t="s">
        <v>62</v>
      </c>
      <c r="D48" s="1">
        <f>D41</f>
        <v>0</v>
      </c>
      <c r="E48" s="1">
        <f>D48-E46</f>
        <v>0</v>
      </c>
      <c r="H48" s="1">
        <f>E48-H46</f>
        <v>0</v>
      </c>
      <c r="K48" s="1">
        <f>H48-K46-K47</f>
        <v>0</v>
      </c>
      <c r="N48" s="1">
        <f>K48-N46-N47</f>
        <v>0</v>
      </c>
      <c r="Q48" s="1">
        <f>N48-Q46-Q47</f>
        <v>0</v>
      </c>
      <c r="T48" s="1">
        <f>Q48-T46-T47</f>
        <v>0</v>
      </c>
      <c r="W48" s="1">
        <f>T48-W46-W47</f>
        <v>0</v>
      </c>
      <c r="Z48" s="1">
        <f>W48-Z46-Z47</f>
        <v>0</v>
      </c>
      <c r="AC48" s="1">
        <f>Z48-AC46-AC47</f>
        <v>0</v>
      </c>
      <c r="AD48" s="33"/>
      <c r="AE48" s="33"/>
      <c r="AF48" s="1">
        <f>AC48-AF46-AF47</f>
        <v>0</v>
      </c>
      <c r="AG48" s="33"/>
      <c r="AH48" s="33"/>
      <c r="AI48" s="1">
        <f>AF48-AI46-AI47</f>
        <v>0</v>
      </c>
      <c r="AJ48" s="33"/>
      <c r="AK48" s="33"/>
      <c r="AL48" s="1">
        <f>AI48-AL46-AL47</f>
        <v>0</v>
      </c>
      <c r="AM48" s="33"/>
      <c r="AN48" s="33"/>
      <c r="AO48" s="1"/>
    </row>
    <row r="49" spans="2:41" hidden="1" x14ac:dyDescent="0.2">
      <c r="AO49" s="1"/>
    </row>
    <row r="50" spans="2:41" hidden="1" x14ac:dyDescent="0.2">
      <c r="D50" s="4" t="s">
        <v>24</v>
      </c>
      <c r="E50" s="28">
        <v>1</v>
      </c>
      <c r="F50" s="28"/>
      <c r="G50" s="28"/>
      <c r="H50" s="28">
        <v>2</v>
      </c>
      <c r="I50" s="28"/>
      <c r="J50" s="28"/>
      <c r="K50" s="28">
        <v>3</v>
      </c>
      <c r="L50" s="28"/>
      <c r="M50" s="28"/>
      <c r="N50" s="28">
        <v>4</v>
      </c>
      <c r="O50" s="28"/>
      <c r="P50" s="28"/>
      <c r="Q50" s="28">
        <v>5</v>
      </c>
      <c r="R50" s="28"/>
      <c r="S50" s="28"/>
      <c r="T50" s="28">
        <v>6</v>
      </c>
      <c r="U50" s="28"/>
      <c r="V50" s="28"/>
      <c r="W50" s="28">
        <v>7</v>
      </c>
      <c r="X50" s="28"/>
      <c r="Y50" s="28"/>
      <c r="Z50" s="28">
        <v>8</v>
      </c>
      <c r="AA50" s="28"/>
      <c r="AB50" s="28"/>
      <c r="AC50" s="28">
        <v>9</v>
      </c>
      <c r="AD50" s="28"/>
      <c r="AE50" s="28"/>
      <c r="AF50" s="28">
        <v>10</v>
      </c>
      <c r="AG50" s="28"/>
      <c r="AH50" s="28"/>
      <c r="AI50" s="28">
        <v>11</v>
      </c>
      <c r="AJ50" s="28"/>
      <c r="AK50" s="28"/>
      <c r="AL50" s="28">
        <v>12</v>
      </c>
    </row>
    <row r="51" spans="2:41" hidden="1" x14ac:dyDescent="0.2">
      <c r="B51" s="9" t="s">
        <v>69</v>
      </c>
      <c r="C51" s="1" t="s">
        <v>72</v>
      </c>
      <c r="D51" s="27">
        <f>D35</f>
        <v>0</v>
      </c>
      <c r="E51" s="1">
        <f>SUM(F35)</f>
        <v>0</v>
      </c>
      <c r="H51" s="1">
        <f>SUM(I35)</f>
        <v>0</v>
      </c>
      <c r="K51" s="1">
        <f>SUM(L35)</f>
        <v>0</v>
      </c>
      <c r="N51" s="1">
        <f>SUM(O35)</f>
        <v>0</v>
      </c>
      <c r="Q51" s="1">
        <f>SUM(R35)</f>
        <v>0</v>
      </c>
      <c r="T51" s="1">
        <f>SUM(U35)</f>
        <v>0</v>
      </c>
      <c r="W51" s="1">
        <f>SUM(X35)</f>
        <v>0</v>
      </c>
      <c r="Z51" s="1">
        <f>SUM(AA35)</f>
        <v>0</v>
      </c>
      <c r="AC51" s="1">
        <f>SUM(AD35)</f>
        <v>0</v>
      </c>
      <c r="AF51" s="1">
        <f>SUM(AG35)</f>
        <v>0</v>
      </c>
      <c r="AI51" s="1">
        <f>SUM(AJ35)</f>
        <v>0</v>
      </c>
      <c r="AL51" s="1">
        <f>SUM(AM35)</f>
        <v>0</v>
      </c>
    </row>
    <row r="52" spans="2:41" hidden="1" x14ac:dyDescent="0.2">
      <c r="C52" s="4" t="s">
        <v>64</v>
      </c>
      <c r="D52" s="27">
        <f>D51</f>
        <v>0</v>
      </c>
      <c r="E52" s="4">
        <f>D52+E25</f>
        <v>0</v>
      </c>
      <c r="F52" s="4"/>
      <c r="G52" s="4"/>
      <c r="H52" s="4">
        <f>E52+H25</f>
        <v>0</v>
      </c>
      <c r="I52" s="4"/>
      <c r="J52" s="4"/>
      <c r="K52" s="4">
        <f>H52+K25</f>
        <v>0</v>
      </c>
      <c r="L52" s="4"/>
      <c r="M52" s="4"/>
      <c r="N52" s="4">
        <f>K52+N25</f>
        <v>0</v>
      </c>
      <c r="O52" s="4"/>
      <c r="P52" s="4"/>
      <c r="Q52" s="4">
        <f>N52+Q25</f>
        <v>0</v>
      </c>
      <c r="R52" s="4"/>
      <c r="S52" s="4"/>
      <c r="T52" s="4">
        <f>Q52+T25</f>
        <v>0</v>
      </c>
      <c r="U52" s="4"/>
      <c r="V52" s="4"/>
      <c r="W52" s="4">
        <f>T52+W25</f>
        <v>0</v>
      </c>
      <c r="X52" s="4"/>
      <c r="Y52" s="4"/>
      <c r="Z52" s="4">
        <f>W52+Z25</f>
        <v>0</v>
      </c>
      <c r="AA52" s="4"/>
      <c r="AB52" s="4"/>
      <c r="AC52" s="4">
        <f>Z52+AC25</f>
        <v>0</v>
      </c>
      <c r="AD52" s="4"/>
      <c r="AE52" s="4"/>
      <c r="AF52" s="4">
        <f>AC52+AF25</f>
        <v>0</v>
      </c>
      <c r="AG52" s="4"/>
      <c r="AH52" s="4"/>
      <c r="AI52" s="4">
        <f>AF52+AI25</f>
        <v>0</v>
      </c>
      <c r="AJ52" s="4"/>
      <c r="AK52" s="4"/>
      <c r="AL52" s="4">
        <f>AI52+AL25</f>
        <v>0</v>
      </c>
    </row>
    <row r="53" spans="2:41" hidden="1" x14ac:dyDescent="0.2">
      <c r="C53" s="4" t="s">
        <v>65</v>
      </c>
      <c r="D53" s="27">
        <f>D52</f>
        <v>0</v>
      </c>
      <c r="E53" s="4">
        <f>IF(RealMaaned&gt;=E50,E51,D53+E25)</f>
        <v>0</v>
      </c>
      <c r="F53" s="4"/>
      <c r="G53" s="4"/>
      <c r="H53" s="4">
        <f>IF(RealMaaned&gt;=H50,H51,E53+H25)</f>
        <v>0</v>
      </c>
      <c r="I53" s="4"/>
      <c r="J53" s="4"/>
      <c r="K53" s="4">
        <f>IF(RealMaaned&gt;=K50,K51,H53+K25)</f>
        <v>0</v>
      </c>
      <c r="L53" s="4"/>
      <c r="M53" s="4"/>
      <c r="N53" s="4">
        <f>IF(RealMaaned&gt;=N50,N51,K53+N25)</f>
        <v>0</v>
      </c>
      <c r="O53" s="4"/>
      <c r="P53" s="4"/>
      <c r="Q53" s="4">
        <f>IF(RealMaaned&gt;=Q50,Q51,N53+Q25)</f>
        <v>0</v>
      </c>
      <c r="R53" s="4"/>
      <c r="S53" s="4"/>
      <c r="T53" s="4">
        <f>IF(RealMaaned&gt;=T50,T51,Q53+T25)</f>
        <v>0</v>
      </c>
      <c r="U53" s="4"/>
      <c r="V53" s="4"/>
      <c r="W53" s="4">
        <f>IF(RealMaaned&gt;=W50,W51,T53+W25)</f>
        <v>0</v>
      </c>
      <c r="X53" s="4"/>
      <c r="Y53" s="4"/>
      <c r="Z53" s="4">
        <f>IF(RealMaaned&gt;=Z50,Z51,W53+Z25)</f>
        <v>0</v>
      </c>
      <c r="AA53" s="4"/>
      <c r="AB53" s="4"/>
      <c r="AC53" s="4">
        <f>IF(RealMaaned&gt;=AC50,AC51,Z53+AC25)</f>
        <v>0</v>
      </c>
      <c r="AD53" s="4"/>
      <c r="AE53" s="4"/>
      <c r="AF53" s="4">
        <f>IF(RealMaaned&gt;=AF50,AF51,AC53+AF25)</f>
        <v>0</v>
      </c>
      <c r="AG53" s="4"/>
      <c r="AH53" s="4"/>
      <c r="AI53" s="4">
        <f>IF(RealMaaned&gt;=AI50,AI51,AF53+AI25)</f>
        <v>0</v>
      </c>
      <c r="AJ53" s="4"/>
      <c r="AK53" s="4"/>
      <c r="AL53" s="4">
        <f>IF(RealMaaned&gt;=AL50,AL51,AI53+AL25)</f>
        <v>0</v>
      </c>
    </row>
  </sheetData>
  <sheetProtection algorithmName="SHA-512" hashValue="fv6sa8HnRIC9VP2V+gxDqmCCD+GwF10GK0FW96lkmnhQYzNWV89jCmlv2CR2QVYYdwU/Eq8kT/gjWsKapBC+ug==" saltValue="/9pndUpb2Sdgw1F9Gt+Inw==" spinCount="100000" sheet="1" objects="1" scenarios="1"/>
  <mergeCells count="27">
    <mergeCell ref="T2:V2"/>
    <mergeCell ref="E2:G2"/>
    <mergeCell ref="H2:J2"/>
    <mergeCell ref="K2:M2"/>
    <mergeCell ref="N2:P2"/>
    <mergeCell ref="Q2:S2"/>
    <mergeCell ref="AW2:BH2"/>
    <mergeCell ref="BI2:BT2"/>
    <mergeCell ref="BU2:CF2"/>
    <mergeCell ref="E31:G31"/>
    <mergeCell ref="H31:J31"/>
    <mergeCell ref="K31:M31"/>
    <mergeCell ref="N31:P31"/>
    <mergeCell ref="Q31:S31"/>
    <mergeCell ref="T31:V31"/>
    <mergeCell ref="W31:Y31"/>
    <mergeCell ref="W2:Y2"/>
    <mergeCell ref="Z2:AB2"/>
    <mergeCell ref="AC2:AE2"/>
    <mergeCell ref="AF2:AH2"/>
    <mergeCell ref="AI2:AK2"/>
    <mergeCell ref="AL2:AN2"/>
    <mergeCell ref="Z31:AB31"/>
    <mergeCell ref="AC31:AE31"/>
    <mergeCell ref="AF31:AH31"/>
    <mergeCell ref="AI31:AK31"/>
    <mergeCell ref="AL31:AN31"/>
  </mergeCell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isBudget">
                <anchor>
                  <from>
                    <xdr:col>2</xdr:col>
                    <xdr:colOff>787400</xdr:colOff>
                    <xdr:row>0</xdr:row>
                    <xdr:rowOff>0</xdr:rowOff>
                  </from>
                  <to>
                    <xdr:col>2</xdr:col>
                    <xdr:colOff>1511300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isRealiseret">
                <anchor>
                  <from>
                    <xdr:col>2</xdr:col>
                    <xdr:colOff>1549400</xdr:colOff>
                    <xdr:row>0</xdr:row>
                    <xdr:rowOff>0</xdr:rowOff>
                  </from>
                  <to>
                    <xdr:col>2</xdr:col>
                    <xdr:colOff>2616200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VisAlle">
                <anchor>
                  <from>
                    <xdr:col>2</xdr:col>
                    <xdr:colOff>63500</xdr:colOff>
                    <xdr:row>0</xdr:row>
                    <xdr:rowOff>0</xdr:rowOff>
                  </from>
                  <to>
                    <xdr:col>2</xdr:col>
                    <xdr:colOff>787400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VisPrognose">
                <anchor>
                  <from>
                    <xdr:col>2</xdr:col>
                    <xdr:colOff>2616200</xdr:colOff>
                    <xdr:row>0</xdr:row>
                    <xdr:rowOff>12700</xdr:rowOff>
                  </from>
                  <to>
                    <xdr:col>2</xdr:col>
                    <xdr:colOff>3098800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 filterMode="1"/>
  <dimension ref="B3:AC140"/>
  <sheetViews>
    <sheetView tabSelected="1" workbookViewId="0">
      <selection activeCell="P30" sqref="P30"/>
    </sheetView>
  </sheetViews>
  <sheetFormatPr baseColWidth="10" defaultColWidth="9.1640625" defaultRowHeight="15" x14ac:dyDescent="0.2"/>
  <cols>
    <col min="1" max="1" width="9.1640625" style="102"/>
    <col min="2" max="2" width="16.83203125" style="102" bestFit="1" customWidth="1"/>
    <col min="3" max="3" width="11.6640625" style="102" bestFit="1" customWidth="1"/>
    <col min="4" max="4" width="1.33203125" style="102" customWidth="1"/>
    <col min="5" max="5" width="20.1640625" style="102" bestFit="1" customWidth="1"/>
    <col min="6" max="6" width="12.33203125" style="102" bestFit="1" customWidth="1"/>
    <col min="7" max="7" width="11.33203125" style="102" bestFit="1" customWidth="1"/>
    <col min="8" max="8" width="11.33203125" style="102" customWidth="1"/>
    <col min="9" max="13" width="14.6640625" style="102" customWidth="1"/>
    <col min="14" max="14" width="11.33203125" style="102" customWidth="1"/>
    <col min="15" max="15" width="13.5" style="102" customWidth="1"/>
    <col min="16" max="16" width="13.33203125" style="102" bestFit="1" customWidth="1"/>
    <col min="17" max="18" width="13.33203125" style="102" customWidth="1"/>
    <col min="19" max="19" width="5" style="102" customWidth="1"/>
    <col min="20" max="20" width="14.5" style="102" bestFit="1" customWidth="1"/>
    <col min="21" max="22" width="13.5" style="102" bestFit="1" customWidth="1"/>
    <col min="23" max="23" width="9.1640625" style="102"/>
    <col min="24" max="24" width="22.6640625" style="102" bestFit="1" customWidth="1"/>
    <col min="30" max="16384" width="9.1640625" style="102"/>
  </cols>
  <sheetData>
    <row r="3" spans="2:20" ht="16" thickBot="1" x14ac:dyDescent="0.25"/>
    <row r="4" spans="2:20" ht="16" thickBot="1" x14ac:dyDescent="0.25">
      <c r="B4" s="102" t="s">
        <v>119</v>
      </c>
      <c r="C4" s="120">
        <v>200000</v>
      </c>
      <c r="E4" s="102" t="s">
        <v>121</v>
      </c>
      <c r="F4" s="122">
        <v>44986</v>
      </c>
      <c r="H4" s="124" t="s">
        <v>126</v>
      </c>
      <c r="I4" s="103" t="s">
        <v>115</v>
      </c>
      <c r="J4" s="104" t="s">
        <v>113</v>
      </c>
      <c r="K4" s="104" t="s">
        <v>114</v>
      </c>
      <c r="L4" s="104" t="s">
        <v>116</v>
      </c>
      <c r="M4" s="105" t="s">
        <v>118</v>
      </c>
      <c r="O4" s="102" t="s">
        <v>123</v>
      </c>
      <c r="T4" s="111">
        <f>C4/C8</f>
        <v>4166.666666666667</v>
      </c>
    </row>
    <row r="5" spans="2:20" ht="16" thickBot="1" x14ac:dyDescent="0.25">
      <c r="B5" s="102" t="s">
        <v>120</v>
      </c>
      <c r="C5" s="121">
        <v>0.04</v>
      </c>
      <c r="E5" s="102" t="s">
        <v>122</v>
      </c>
      <c r="F5" s="122">
        <v>46811</v>
      </c>
      <c r="H5" s="102">
        <v>0</v>
      </c>
      <c r="I5" s="106">
        <f>F4</f>
        <v>44986</v>
      </c>
      <c r="J5" s="107"/>
      <c r="K5" s="107"/>
      <c r="L5" s="107">
        <f>C4*-1</f>
        <v>-200000</v>
      </c>
      <c r="M5" s="107">
        <f>C4</f>
        <v>200000</v>
      </c>
      <c r="O5" s="102" t="s">
        <v>117</v>
      </c>
      <c r="T5" s="111">
        <f>SUM(PMT(C5/12,C8,C4)*-1)-T4</f>
        <v>349.14426167132842</v>
      </c>
    </row>
    <row r="6" spans="2:20" ht="16" thickBot="1" x14ac:dyDescent="0.25">
      <c r="F6" s="125">
        <f>(F5-F4)/364</f>
        <v>5.0137362637362637</v>
      </c>
      <c r="H6" s="102">
        <v>1</v>
      </c>
      <c r="I6" s="106">
        <f>EOMONTH(F4,0)</f>
        <v>45016</v>
      </c>
      <c r="J6" s="107">
        <f>IF($F$8*12&lt;H6,$T$7-K6,0)</f>
        <v>0</v>
      </c>
      <c r="K6" s="107">
        <f t="shared" ref="K6:K37" si="0">M5*$C$5/12</f>
        <v>666.66666666666663</v>
      </c>
      <c r="L6" s="107">
        <f t="shared" ref="L6:L53" si="1">SUM(J6:K6)</f>
        <v>666.66666666666663</v>
      </c>
      <c r="M6" s="107">
        <f t="shared" ref="M6:M37" si="2">M5-J6</f>
        <v>200000</v>
      </c>
    </row>
    <row r="7" spans="2:20" ht="16" thickBot="1" x14ac:dyDescent="0.25">
      <c r="H7" s="102">
        <v>2</v>
      </c>
      <c r="I7" s="106">
        <f>EOMONTH(I6+1,0)</f>
        <v>45046</v>
      </c>
      <c r="J7" s="107">
        <f>IF($F$8*12&lt;H7,$T$7-K7,0)</f>
        <v>0</v>
      </c>
      <c r="K7" s="107">
        <f>M6*$C$5/12</f>
        <v>666.66666666666663</v>
      </c>
      <c r="L7" s="107">
        <f t="shared" si="1"/>
        <v>666.66666666666663</v>
      </c>
      <c r="M7" s="107">
        <f>M6-J7</f>
        <v>200000</v>
      </c>
      <c r="O7" s="102" t="s">
        <v>124</v>
      </c>
      <c r="T7" s="111">
        <f>SUM(T4,T5)</f>
        <v>4515.8109283379954</v>
      </c>
    </row>
    <row r="8" spans="2:20" ht="16" thickBot="1" x14ac:dyDescent="0.25">
      <c r="B8" s="102" t="s">
        <v>128</v>
      </c>
      <c r="C8" s="108">
        <f>SUM((YEAR($F$5)-YEAR($F$4))*12+MONTH($F$5)-MONTH($F$4),F8*-12)+1</f>
        <v>48</v>
      </c>
      <c r="E8" s="102" t="s">
        <v>125</v>
      </c>
      <c r="F8" s="123">
        <v>1</v>
      </c>
      <c r="H8" s="102">
        <v>3</v>
      </c>
      <c r="I8" s="106">
        <f t="shared" ref="I8:I54" si="3">EOMONTH(I7+1,0)</f>
        <v>45077</v>
      </c>
      <c r="J8" s="107">
        <f>IF($F$8*12&lt;H8,$T$7-K8,0)</f>
        <v>0</v>
      </c>
      <c r="K8" s="107">
        <f t="shared" si="0"/>
        <v>666.66666666666663</v>
      </c>
      <c r="L8" s="107">
        <f t="shared" si="1"/>
        <v>666.66666666666663</v>
      </c>
      <c r="M8" s="107">
        <f t="shared" si="2"/>
        <v>200000</v>
      </c>
      <c r="O8" s="102" t="s">
        <v>129</v>
      </c>
      <c r="T8" s="111">
        <f>T5*C8</f>
        <v>16758.924560223764</v>
      </c>
    </row>
    <row r="9" spans="2:20" ht="16" thickBot="1" x14ac:dyDescent="0.25">
      <c r="B9" s="102" t="s">
        <v>127</v>
      </c>
      <c r="C9" s="108">
        <f>SUM((YEAR($F$5)-YEAR($F$4))*12+MONTH($F$5)-MONTH($F$4))+1</f>
        <v>60</v>
      </c>
      <c r="E9" s="109"/>
      <c r="F9" s="109"/>
      <c r="H9" s="102">
        <v>4</v>
      </c>
      <c r="I9" s="106">
        <f t="shared" si="3"/>
        <v>45107</v>
      </c>
      <c r="J9" s="107">
        <f>IF($F$8*12&lt;H9,$T$7-K9,0)</f>
        <v>0</v>
      </c>
      <c r="K9" s="107">
        <f t="shared" si="0"/>
        <v>666.66666666666663</v>
      </c>
      <c r="L9" s="107">
        <f t="shared" si="1"/>
        <v>666.66666666666663</v>
      </c>
      <c r="M9" s="107">
        <f t="shared" si="2"/>
        <v>200000</v>
      </c>
    </row>
    <row r="10" spans="2:20" ht="16" thickBot="1" x14ac:dyDescent="0.25">
      <c r="F10" s="109"/>
      <c r="H10" s="102">
        <v>5</v>
      </c>
      <c r="I10" s="106">
        <f t="shared" si="3"/>
        <v>45138</v>
      </c>
      <c r="J10" s="107">
        <f>IF($F$8*12&lt;H10,$T$7-K10,0)</f>
        <v>0</v>
      </c>
      <c r="K10" s="107">
        <f t="shared" si="0"/>
        <v>666.66666666666663</v>
      </c>
      <c r="L10" s="107">
        <f t="shared" si="1"/>
        <v>666.66666666666663</v>
      </c>
      <c r="M10" s="107">
        <f t="shared" si="2"/>
        <v>200000</v>
      </c>
      <c r="O10" s="102" t="s">
        <v>130</v>
      </c>
      <c r="T10" s="111">
        <f>SUMIF(H5:H1000,"&lt;="&amp;F8*12,K5:K1000)</f>
        <v>8000.0000000000009</v>
      </c>
    </row>
    <row r="11" spans="2:20" ht="16" thickBot="1" x14ac:dyDescent="0.25">
      <c r="F11" s="109"/>
      <c r="H11" s="102">
        <v>6</v>
      </c>
      <c r="I11" s="106">
        <f t="shared" si="3"/>
        <v>45169</v>
      </c>
      <c r="J11" s="107">
        <f>IF($F$8*12&lt;H11,$T$7-K11,0)</f>
        <v>0</v>
      </c>
      <c r="K11" s="107">
        <f t="shared" si="0"/>
        <v>666.66666666666663</v>
      </c>
      <c r="L11" s="107">
        <f t="shared" si="1"/>
        <v>666.66666666666663</v>
      </c>
      <c r="M11" s="107">
        <f t="shared" si="2"/>
        <v>200000</v>
      </c>
    </row>
    <row r="12" spans="2:20" ht="16" thickBot="1" x14ac:dyDescent="0.25">
      <c r="E12" s="109"/>
      <c r="F12" s="109"/>
      <c r="H12" s="102">
        <v>7</v>
      </c>
      <c r="I12" s="106">
        <f t="shared" si="3"/>
        <v>45199</v>
      </c>
      <c r="J12" s="107">
        <f>IF($F$8*12&lt;H12,$T$7-K12,0)</f>
        <v>0</v>
      </c>
      <c r="K12" s="107">
        <f t="shared" si="0"/>
        <v>666.66666666666663</v>
      </c>
      <c r="L12" s="107">
        <f t="shared" si="1"/>
        <v>666.66666666666663</v>
      </c>
      <c r="M12" s="107">
        <f t="shared" si="2"/>
        <v>200000</v>
      </c>
      <c r="O12" s="102" t="s">
        <v>131</v>
      </c>
      <c r="T12" s="111">
        <f>SUM(T10,T8)</f>
        <v>24758.924560223764</v>
      </c>
    </row>
    <row r="13" spans="2:20" x14ac:dyDescent="0.2">
      <c r="H13" s="102">
        <v>8</v>
      </c>
      <c r="I13" s="106">
        <f t="shared" si="3"/>
        <v>45230</v>
      </c>
      <c r="J13" s="107">
        <f>IF($F$8*12&lt;H13,$T$7-K13,0)</f>
        <v>0</v>
      </c>
      <c r="K13" s="107">
        <f t="shared" si="0"/>
        <v>666.66666666666663</v>
      </c>
      <c r="L13" s="107">
        <f t="shared" si="1"/>
        <v>666.66666666666663</v>
      </c>
      <c r="M13" s="107">
        <f t="shared" si="2"/>
        <v>200000</v>
      </c>
    </row>
    <row r="14" spans="2:20" x14ac:dyDescent="0.2">
      <c r="H14" s="102">
        <v>9</v>
      </c>
      <c r="I14" s="106">
        <f t="shared" si="3"/>
        <v>45260</v>
      </c>
      <c r="J14" s="107">
        <f>IF($F$8*12&lt;H14,$T$7-K14,0)</f>
        <v>0</v>
      </c>
      <c r="K14" s="107">
        <f t="shared" si="0"/>
        <v>666.66666666666663</v>
      </c>
      <c r="L14" s="107">
        <f t="shared" si="1"/>
        <v>666.66666666666663</v>
      </c>
      <c r="M14" s="107">
        <f t="shared" si="2"/>
        <v>200000</v>
      </c>
    </row>
    <row r="15" spans="2:20" x14ac:dyDescent="0.2">
      <c r="H15" s="102">
        <v>10</v>
      </c>
      <c r="I15" s="106">
        <f t="shared" si="3"/>
        <v>45291</v>
      </c>
      <c r="J15" s="107">
        <f>IF($F$8*12&lt;H15,$T$7-K15,0)</f>
        <v>0</v>
      </c>
      <c r="K15" s="107">
        <f t="shared" si="0"/>
        <v>666.66666666666663</v>
      </c>
      <c r="L15" s="107">
        <f t="shared" si="1"/>
        <v>666.66666666666663</v>
      </c>
      <c r="M15" s="107">
        <f t="shared" si="2"/>
        <v>200000</v>
      </c>
    </row>
    <row r="16" spans="2:20" x14ac:dyDescent="0.2">
      <c r="H16" s="102">
        <v>11</v>
      </c>
      <c r="I16" s="106">
        <f t="shared" si="3"/>
        <v>45322</v>
      </c>
      <c r="J16" s="107">
        <f>IF($F$8*12&lt;H16,$T$7-K16,0)</f>
        <v>0</v>
      </c>
      <c r="K16" s="107">
        <f t="shared" si="0"/>
        <v>666.66666666666663</v>
      </c>
      <c r="L16" s="107">
        <f t="shared" si="1"/>
        <v>666.66666666666663</v>
      </c>
      <c r="M16" s="107">
        <f t="shared" si="2"/>
        <v>200000</v>
      </c>
    </row>
    <row r="17" spans="8:23" x14ac:dyDescent="0.2">
      <c r="H17" s="102">
        <v>12</v>
      </c>
      <c r="I17" s="106">
        <f t="shared" si="3"/>
        <v>45351</v>
      </c>
      <c r="J17" s="107">
        <f>IF($F$8*12&lt;H17,$T$7-K17,0)</f>
        <v>0</v>
      </c>
      <c r="K17" s="107">
        <f t="shared" si="0"/>
        <v>666.66666666666663</v>
      </c>
      <c r="L17" s="107">
        <f t="shared" si="1"/>
        <v>666.66666666666663</v>
      </c>
      <c r="M17" s="107">
        <f t="shared" si="2"/>
        <v>200000</v>
      </c>
    </row>
    <row r="18" spans="8:23" x14ac:dyDescent="0.2">
      <c r="H18" s="102">
        <v>13</v>
      </c>
      <c r="I18" s="106">
        <f t="shared" si="3"/>
        <v>45382</v>
      </c>
      <c r="J18" s="107">
        <f>IF($F$8*12&lt;H18,$T$7-K18,0)</f>
        <v>3849.1442616713289</v>
      </c>
      <c r="K18" s="107">
        <f t="shared" si="0"/>
        <v>666.66666666666663</v>
      </c>
      <c r="L18" s="107">
        <f t="shared" si="1"/>
        <v>4515.8109283379954</v>
      </c>
      <c r="M18" s="107">
        <f t="shared" si="2"/>
        <v>196150.85573832868</v>
      </c>
    </row>
    <row r="19" spans="8:23" x14ac:dyDescent="0.2">
      <c r="H19" s="102">
        <v>14</v>
      </c>
      <c r="I19" s="106">
        <f t="shared" si="3"/>
        <v>45412</v>
      </c>
      <c r="J19" s="107">
        <f>IF($F$8*12&lt;H19,$T$7-K19,0)</f>
        <v>3861.9747425435662</v>
      </c>
      <c r="K19" s="107">
        <f t="shared" si="0"/>
        <v>653.83618579442896</v>
      </c>
      <c r="L19" s="107">
        <f t="shared" si="1"/>
        <v>4515.8109283379954</v>
      </c>
      <c r="M19" s="107">
        <f t="shared" si="2"/>
        <v>192288.88099578512</v>
      </c>
    </row>
    <row r="20" spans="8:23" x14ac:dyDescent="0.2">
      <c r="H20" s="102">
        <v>15</v>
      </c>
      <c r="I20" s="106">
        <f t="shared" si="3"/>
        <v>45443</v>
      </c>
      <c r="J20" s="107">
        <f>IF($F$8*12&lt;H20,$T$7-K20,0)</f>
        <v>3874.8479916853785</v>
      </c>
      <c r="K20" s="107">
        <f t="shared" si="0"/>
        <v>640.96293665261703</v>
      </c>
      <c r="L20" s="107">
        <f t="shared" si="1"/>
        <v>4515.8109283379954</v>
      </c>
      <c r="M20" s="107">
        <f t="shared" si="2"/>
        <v>188414.03300409974</v>
      </c>
    </row>
    <row r="21" spans="8:23" x14ac:dyDescent="0.2">
      <c r="H21" s="102">
        <v>16</v>
      </c>
      <c r="I21" s="106">
        <f t="shared" si="3"/>
        <v>45473</v>
      </c>
      <c r="J21" s="107">
        <f>IF($F$8*12&lt;H21,$T$7-K21,0)</f>
        <v>3887.7641516576628</v>
      </c>
      <c r="K21" s="107">
        <f t="shared" si="0"/>
        <v>628.04677668033253</v>
      </c>
      <c r="L21" s="107">
        <f t="shared" si="1"/>
        <v>4515.8109283379954</v>
      </c>
      <c r="M21" s="107">
        <f t="shared" si="2"/>
        <v>184526.26885244207</v>
      </c>
    </row>
    <row r="22" spans="8:23" x14ac:dyDescent="0.2">
      <c r="H22" s="102">
        <v>17</v>
      </c>
      <c r="I22" s="106">
        <f t="shared" si="3"/>
        <v>45504</v>
      </c>
      <c r="J22" s="107">
        <f>IF($F$8*12&lt;H22,$T$7-K22,0)</f>
        <v>3900.7233654965216</v>
      </c>
      <c r="K22" s="107">
        <f t="shared" si="0"/>
        <v>615.08756284147364</v>
      </c>
      <c r="L22" s="107">
        <f t="shared" si="1"/>
        <v>4515.8109283379954</v>
      </c>
      <c r="M22" s="107">
        <f t="shared" si="2"/>
        <v>180625.54548694554</v>
      </c>
    </row>
    <row r="23" spans="8:23" x14ac:dyDescent="0.2">
      <c r="H23" s="102">
        <v>18</v>
      </c>
      <c r="I23" s="106">
        <f t="shared" si="3"/>
        <v>45535</v>
      </c>
      <c r="J23" s="107">
        <f>IF($F$8*12&lt;H23,$T$7-K23,0)</f>
        <v>3913.7257767148435</v>
      </c>
      <c r="K23" s="107">
        <f t="shared" si="0"/>
        <v>602.08515162315177</v>
      </c>
      <c r="L23" s="107">
        <f t="shared" si="1"/>
        <v>4515.8109283379954</v>
      </c>
      <c r="M23" s="107">
        <f t="shared" si="2"/>
        <v>176711.81971023069</v>
      </c>
    </row>
    <row r="24" spans="8:23" x14ac:dyDescent="0.2">
      <c r="H24" s="102">
        <v>19</v>
      </c>
      <c r="I24" s="106">
        <f t="shared" si="3"/>
        <v>45565</v>
      </c>
      <c r="J24" s="107">
        <f>IF($F$8*12&lt;H24,$T$7-K24,0)</f>
        <v>3926.7715293038932</v>
      </c>
      <c r="K24" s="107">
        <f t="shared" si="0"/>
        <v>589.0393990341023</v>
      </c>
      <c r="L24" s="107">
        <f t="shared" si="1"/>
        <v>4515.8109283379954</v>
      </c>
      <c r="M24" s="107">
        <f t="shared" si="2"/>
        <v>172785.04818092679</v>
      </c>
      <c r="W24" s="110"/>
    </row>
    <row r="25" spans="8:23" x14ac:dyDescent="0.2">
      <c r="H25" s="102">
        <v>20</v>
      </c>
      <c r="I25" s="106">
        <f t="shared" si="3"/>
        <v>45596</v>
      </c>
      <c r="J25" s="107">
        <f>IF($F$8*12&lt;H25,$T$7-K25,0)</f>
        <v>3939.8607677349059</v>
      </c>
      <c r="K25" s="107">
        <f t="shared" si="0"/>
        <v>575.95016060308933</v>
      </c>
      <c r="L25" s="107">
        <f t="shared" si="1"/>
        <v>4515.8109283379954</v>
      </c>
      <c r="M25" s="107">
        <f t="shared" si="2"/>
        <v>168845.18741319189</v>
      </c>
    </row>
    <row r="26" spans="8:23" x14ac:dyDescent="0.2">
      <c r="H26" s="102">
        <v>21</v>
      </c>
      <c r="I26" s="106">
        <f t="shared" si="3"/>
        <v>45626</v>
      </c>
      <c r="J26" s="107">
        <f>IF($F$8*12&lt;H26,$T$7-K26,0)</f>
        <v>3952.9936369606889</v>
      </c>
      <c r="K26" s="107">
        <f t="shared" si="0"/>
        <v>562.81729137730633</v>
      </c>
      <c r="L26" s="107">
        <f t="shared" si="1"/>
        <v>4515.8109283379954</v>
      </c>
      <c r="M26" s="107">
        <f t="shared" si="2"/>
        <v>164892.1937762312</v>
      </c>
    </row>
    <row r="27" spans="8:23" x14ac:dyDescent="0.2">
      <c r="H27" s="102">
        <v>22</v>
      </c>
      <c r="I27" s="106">
        <f t="shared" si="3"/>
        <v>45657</v>
      </c>
      <c r="J27" s="107">
        <f>IF($F$8*12&lt;H27,$T$7-K27,0)</f>
        <v>3966.1702824172248</v>
      </c>
      <c r="K27" s="107">
        <f t="shared" si="0"/>
        <v>549.64064592077068</v>
      </c>
      <c r="L27" s="107">
        <f t="shared" si="1"/>
        <v>4515.8109283379954</v>
      </c>
      <c r="M27" s="107">
        <f t="shared" si="2"/>
        <v>160926.02349381396</v>
      </c>
    </row>
    <row r="28" spans="8:23" x14ac:dyDescent="0.2">
      <c r="H28" s="102">
        <v>23</v>
      </c>
      <c r="I28" s="106">
        <f t="shared" si="3"/>
        <v>45688</v>
      </c>
      <c r="J28" s="107">
        <f>IF($F$8*12&lt;H28,$T$7-K28,0)</f>
        <v>3979.3908500252824</v>
      </c>
      <c r="K28" s="107">
        <f t="shared" si="0"/>
        <v>536.42007831271314</v>
      </c>
      <c r="L28" s="107">
        <f t="shared" si="1"/>
        <v>4515.8109283379954</v>
      </c>
      <c r="M28" s="107">
        <f t="shared" si="2"/>
        <v>156946.63264378867</v>
      </c>
    </row>
    <row r="29" spans="8:23" x14ac:dyDescent="0.2">
      <c r="H29" s="102">
        <v>24</v>
      </c>
      <c r="I29" s="106">
        <f t="shared" si="3"/>
        <v>45716</v>
      </c>
      <c r="J29" s="107">
        <f>IF($F$8*12&lt;H29,$T$7-K29,0)</f>
        <v>3992.6554861920331</v>
      </c>
      <c r="K29" s="107">
        <f t="shared" si="0"/>
        <v>523.1554421459623</v>
      </c>
      <c r="L29" s="107">
        <f t="shared" si="1"/>
        <v>4515.8109283379954</v>
      </c>
      <c r="M29" s="107">
        <f t="shared" si="2"/>
        <v>152953.97715759664</v>
      </c>
    </row>
    <row r="30" spans="8:23" x14ac:dyDescent="0.2">
      <c r="H30" s="102">
        <v>25</v>
      </c>
      <c r="I30" s="106">
        <f t="shared" si="3"/>
        <v>45747</v>
      </c>
      <c r="J30" s="107">
        <f>IF($F$8*12&lt;H30,$T$7-K30,0)</f>
        <v>4005.9643378126734</v>
      </c>
      <c r="K30" s="107">
        <f t="shared" si="0"/>
        <v>509.84659052532214</v>
      </c>
      <c r="L30" s="107">
        <f t="shared" si="1"/>
        <v>4515.8109283379954</v>
      </c>
      <c r="M30" s="107">
        <f t="shared" si="2"/>
        <v>148948.01281978397</v>
      </c>
    </row>
    <row r="31" spans="8:23" x14ac:dyDescent="0.2">
      <c r="H31" s="102">
        <v>26</v>
      </c>
      <c r="I31" s="106">
        <f t="shared" si="3"/>
        <v>45777</v>
      </c>
      <c r="J31" s="107">
        <f>IF($F$8*12&lt;H31,$T$7-K31,0)</f>
        <v>4019.3175522720489</v>
      </c>
      <c r="K31" s="107">
        <f t="shared" si="0"/>
        <v>496.49337606594651</v>
      </c>
      <c r="L31" s="107">
        <f t="shared" si="1"/>
        <v>4515.8109283379954</v>
      </c>
      <c r="M31" s="107">
        <f t="shared" si="2"/>
        <v>144928.69526751191</v>
      </c>
    </row>
    <row r="32" spans="8:23" x14ac:dyDescent="0.2">
      <c r="H32" s="102">
        <v>27</v>
      </c>
      <c r="I32" s="106">
        <f t="shared" si="3"/>
        <v>45808</v>
      </c>
      <c r="J32" s="107">
        <f>IF($F$8*12&lt;H32,$T$7-K32,0)</f>
        <v>4032.7152774462888</v>
      </c>
      <c r="K32" s="107">
        <f t="shared" si="0"/>
        <v>483.09565089170638</v>
      </c>
      <c r="L32" s="107">
        <f t="shared" si="1"/>
        <v>4515.8109283379954</v>
      </c>
      <c r="M32" s="107">
        <f t="shared" si="2"/>
        <v>140895.97999006562</v>
      </c>
    </row>
    <row r="33" spans="8:13" x14ac:dyDescent="0.2">
      <c r="H33" s="102">
        <v>28</v>
      </c>
      <c r="I33" s="106">
        <f t="shared" si="3"/>
        <v>45838</v>
      </c>
      <c r="J33" s="107">
        <f>IF($F$8*12&lt;H33,$T$7-K33,0)</f>
        <v>4046.1576617044434</v>
      </c>
      <c r="K33" s="107">
        <f t="shared" si="0"/>
        <v>469.65326663355205</v>
      </c>
      <c r="L33" s="107">
        <f t="shared" si="1"/>
        <v>4515.8109283379954</v>
      </c>
      <c r="M33" s="107">
        <f t="shared" si="2"/>
        <v>136849.82232836119</v>
      </c>
    </row>
    <row r="34" spans="8:13" x14ac:dyDescent="0.2">
      <c r="H34" s="102">
        <v>29</v>
      </c>
      <c r="I34" s="106">
        <f t="shared" si="3"/>
        <v>45869</v>
      </c>
      <c r="J34" s="107">
        <f>IF($F$8*12&lt;H34,$T$7-K34,0)</f>
        <v>4059.6448539101248</v>
      </c>
      <c r="K34" s="107">
        <f t="shared" si="0"/>
        <v>456.16607442787063</v>
      </c>
      <c r="L34" s="107">
        <f t="shared" si="1"/>
        <v>4515.8109283379954</v>
      </c>
      <c r="M34" s="107">
        <f t="shared" si="2"/>
        <v>132790.17747445108</v>
      </c>
    </row>
    <row r="35" spans="8:13" x14ac:dyDescent="0.2">
      <c r="H35" s="102">
        <v>30</v>
      </c>
      <c r="I35" s="106">
        <f t="shared" si="3"/>
        <v>45900</v>
      </c>
      <c r="J35" s="107">
        <f>IF($F$8*12&lt;H35,$T$7-K35,0)</f>
        <v>4073.1770034231586</v>
      </c>
      <c r="K35" s="107">
        <f t="shared" si="0"/>
        <v>442.63392491483688</v>
      </c>
      <c r="L35" s="107">
        <f t="shared" si="1"/>
        <v>4515.8109283379954</v>
      </c>
      <c r="M35" s="107">
        <f t="shared" si="2"/>
        <v>128717.00047102792</v>
      </c>
    </row>
    <row r="36" spans="8:13" x14ac:dyDescent="0.2">
      <c r="H36" s="102">
        <v>31</v>
      </c>
      <c r="I36" s="106">
        <f t="shared" si="3"/>
        <v>45930</v>
      </c>
      <c r="J36" s="107">
        <f>IF($F$8*12&lt;H36,$T$7-K36,0)</f>
        <v>4086.7542601012356</v>
      </c>
      <c r="K36" s="107">
        <f t="shared" si="0"/>
        <v>429.05666823675978</v>
      </c>
      <c r="L36" s="107">
        <f t="shared" si="1"/>
        <v>4515.8109283379954</v>
      </c>
      <c r="M36" s="107">
        <f t="shared" si="2"/>
        <v>124630.24621092668</v>
      </c>
    </row>
    <row r="37" spans="8:13" x14ac:dyDescent="0.2">
      <c r="H37" s="102">
        <v>32</v>
      </c>
      <c r="I37" s="106">
        <f t="shared" si="3"/>
        <v>45961</v>
      </c>
      <c r="J37" s="107">
        <f>IF($F$8*12&lt;H37,$T$7-K37,0)</f>
        <v>4100.3767743015733</v>
      </c>
      <c r="K37" s="107">
        <f t="shared" si="0"/>
        <v>415.43415403642229</v>
      </c>
      <c r="L37" s="107">
        <f t="shared" si="1"/>
        <v>4515.8109283379954</v>
      </c>
      <c r="M37" s="107">
        <f t="shared" si="2"/>
        <v>120529.8694366251</v>
      </c>
    </row>
    <row r="38" spans="8:13" x14ac:dyDescent="0.2">
      <c r="H38" s="102">
        <v>33</v>
      </c>
      <c r="I38" s="106">
        <f t="shared" si="3"/>
        <v>45991</v>
      </c>
      <c r="J38" s="107">
        <f>IF($F$8*12&lt;H38,$T$7-K38,0)</f>
        <v>4114.0446968825781</v>
      </c>
      <c r="K38" s="107">
        <f t="shared" ref="K38:K69" si="4">M37*$C$5/12</f>
        <v>401.76623145541703</v>
      </c>
      <c r="L38" s="107">
        <f t="shared" si="1"/>
        <v>4515.8109283379954</v>
      </c>
      <c r="M38" s="107">
        <f t="shared" ref="M38:M54" si="5">M37-J38</f>
        <v>116415.82473974253</v>
      </c>
    </row>
    <row r="39" spans="8:13" x14ac:dyDescent="0.2">
      <c r="H39" s="102">
        <v>34</v>
      </c>
      <c r="I39" s="106">
        <f t="shared" si="3"/>
        <v>46022</v>
      </c>
      <c r="J39" s="107">
        <f>IF($F$8*12&lt;H39,$T$7-K39,0)</f>
        <v>4127.7581792055207</v>
      </c>
      <c r="K39" s="107">
        <f t="shared" si="4"/>
        <v>388.05274913247513</v>
      </c>
      <c r="L39" s="107">
        <f t="shared" si="1"/>
        <v>4515.8109283379963</v>
      </c>
      <c r="M39" s="107">
        <f t="shared" si="5"/>
        <v>112288.066560537</v>
      </c>
    </row>
    <row r="40" spans="8:13" x14ac:dyDescent="0.2">
      <c r="H40" s="102">
        <v>35</v>
      </c>
      <c r="I40" s="106">
        <f t="shared" si="3"/>
        <v>46053</v>
      </c>
      <c r="J40" s="107">
        <f>IF($F$8*12&lt;H40,$T$7-K40,0)</f>
        <v>4141.5173731362056</v>
      </c>
      <c r="K40" s="107">
        <f t="shared" si="4"/>
        <v>374.29355520179001</v>
      </c>
      <c r="L40" s="107">
        <f t="shared" si="1"/>
        <v>4515.8109283379954</v>
      </c>
      <c r="M40" s="107">
        <f t="shared" si="5"/>
        <v>108146.5491874008</v>
      </c>
    </row>
    <row r="41" spans="8:13" x14ac:dyDescent="0.2">
      <c r="H41" s="102">
        <v>36</v>
      </c>
      <c r="I41" s="106">
        <f t="shared" si="3"/>
        <v>46081</v>
      </c>
      <c r="J41" s="107">
        <f>IF($F$8*12&lt;H41,$T$7-K41,0)</f>
        <v>4155.3224310466594</v>
      </c>
      <c r="K41" s="107">
        <f t="shared" si="4"/>
        <v>360.48849729133599</v>
      </c>
      <c r="L41" s="107">
        <f t="shared" si="1"/>
        <v>4515.8109283379954</v>
      </c>
      <c r="M41" s="107">
        <f t="shared" si="5"/>
        <v>103991.22675635414</v>
      </c>
    </row>
    <row r="42" spans="8:13" x14ac:dyDescent="0.2">
      <c r="H42" s="102">
        <v>37</v>
      </c>
      <c r="I42" s="106">
        <f t="shared" si="3"/>
        <v>46112</v>
      </c>
      <c r="J42" s="107">
        <f>IF($F$8*12&lt;H42,$T$7-K42,0)</f>
        <v>4169.1735058168151</v>
      </c>
      <c r="K42" s="107">
        <f t="shared" si="4"/>
        <v>346.6374225211805</v>
      </c>
      <c r="L42" s="107">
        <f t="shared" si="1"/>
        <v>4515.8109283379954</v>
      </c>
      <c r="M42" s="107">
        <f t="shared" si="5"/>
        <v>99822.053250537327</v>
      </c>
    </row>
    <row r="43" spans="8:13" x14ac:dyDescent="0.2">
      <c r="H43" s="102">
        <v>38</v>
      </c>
      <c r="I43" s="106">
        <f t="shared" si="3"/>
        <v>46142</v>
      </c>
      <c r="J43" s="107">
        <f>IF($F$8*12&lt;H43,$T$7-K43,0)</f>
        <v>4183.0707508362048</v>
      </c>
      <c r="K43" s="107">
        <f t="shared" si="4"/>
        <v>332.74017750179109</v>
      </c>
      <c r="L43" s="107">
        <f t="shared" si="1"/>
        <v>4515.8109283379963</v>
      </c>
      <c r="M43" s="107">
        <f t="shared" si="5"/>
        <v>95638.982499701116</v>
      </c>
    </row>
    <row r="44" spans="8:13" x14ac:dyDescent="0.2">
      <c r="H44" s="102">
        <v>39</v>
      </c>
      <c r="I44" s="106">
        <f t="shared" si="3"/>
        <v>46173</v>
      </c>
      <c r="J44" s="107">
        <f>IF($F$8*12&lt;H44,$T$7-K44,0)</f>
        <v>4197.0143200056582</v>
      </c>
      <c r="K44" s="107">
        <f t="shared" si="4"/>
        <v>318.79660833233703</v>
      </c>
      <c r="L44" s="107">
        <f t="shared" si="1"/>
        <v>4515.8109283379954</v>
      </c>
      <c r="M44" s="107">
        <f t="shared" si="5"/>
        <v>91441.968179695454</v>
      </c>
    </row>
    <row r="45" spans="8:13" x14ac:dyDescent="0.2">
      <c r="H45" s="102">
        <v>40</v>
      </c>
      <c r="I45" s="106">
        <f t="shared" si="3"/>
        <v>46203</v>
      </c>
      <c r="J45" s="107">
        <f>IF($F$8*12&lt;H45,$T$7-K45,0)</f>
        <v>4211.0043677390104</v>
      </c>
      <c r="K45" s="107">
        <f t="shared" si="4"/>
        <v>304.80656059898485</v>
      </c>
      <c r="L45" s="107">
        <f t="shared" si="1"/>
        <v>4515.8109283379954</v>
      </c>
      <c r="M45" s="107">
        <f t="shared" si="5"/>
        <v>87230.963811956448</v>
      </c>
    </row>
    <row r="46" spans="8:13" x14ac:dyDescent="0.2">
      <c r="H46" s="102">
        <v>41</v>
      </c>
      <c r="I46" s="106">
        <f t="shared" si="3"/>
        <v>46234</v>
      </c>
      <c r="J46" s="107">
        <f>IF($F$8*12&lt;H46,$T$7-K46,0)</f>
        <v>4225.0410489648075</v>
      </c>
      <c r="K46" s="107">
        <f t="shared" si="4"/>
        <v>290.76987937318819</v>
      </c>
      <c r="L46" s="107">
        <f t="shared" si="1"/>
        <v>4515.8109283379954</v>
      </c>
      <c r="M46" s="107">
        <f t="shared" si="5"/>
        <v>83005.922762991642</v>
      </c>
    </row>
    <row r="47" spans="8:13" x14ac:dyDescent="0.2">
      <c r="H47" s="102">
        <v>42</v>
      </c>
      <c r="I47" s="106">
        <f t="shared" si="3"/>
        <v>46265</v>
      </c>
      <c r="J47" s="107">
        <f>IF($F$8*12&lt;H47,$T$7-K47,0)</f>
        <v>4239.1245191280232</v>
      </c>
      <c r="K47" s="107">
        <f t="shared" si="4"/>
        <v>276.68640920997217</v>
      </c>
      <c r="L47" s="107">
        <f t="shared" si="1"/>
        <v>4515.8109283379954</v>
      </c>
      <c r="M47" s="107">
        <f t="shared" si="5"/>
        <v>78766.798243863625</v>
      </c>
    </row>
    <row r="48" spans="8:13" x14ac:dyDescent="0.2">
      <c r="H48" s="102">
        <v>43</v>
      </c>
      <c r="I48" s="106">
        <f t="shared" si="3"/>
        <v>46295</v>
      </c>
      <c r="J48" s="107">
        <f>IF($F$8*12&lt;H48,$T$7-K48,0)</f>
        <v>4253.2549341917829</v>
      </c>
      <c r="K48" s="107">
        <f t="shared" si="4"/>
        <v>262.55599414621207</v>
      </c>
      <c r="L48" s="107">
        <f t="shared" si="1"/>
        <v>4515.8109283379954</v>
      </c>
      <c r="M48" s="107">
        <f t="shared" si="5"/>
        <v>74513.543309671848</v>
      </c>
    </row>
    <row r="49" spans="8:13" x14ac:dyDescent="0.2">
      <c r="H49" s="102">
        <v>44</v>
      </c>
      <c r="I49" s="106">
        <f t="shared" si="3"/>
        <v>46326</v>
      </c>
      <c r="J49" s="107">
        <f>IF($F$8*12&lt;H49,$T$7-K49,0)</f>
        <v>4267.4324506390894</v>
      </c>
      <c r="K49" s="107">
        <f t="shared" si="4"/>
        <v>248.37847769890618</v>
      </c>
      <c r="L49" s="107">
        <f t="shared" si="1"/>
        <v>4515.8109283379954</v>
      </c>
      <c r="M49" s="107">
        <f t="shared" si="5"/>
        <v>70246.110859032764</v>
      </c>
    </row>
    <row r="50" spans="8:13" x14ac:dyDescent="0.2">
      <c r="H50" s="102">
        <v>45</v>
      </c>
      <c r="I50" s="106">
        <f t="shared" si="3"/>
        <v>46356</v>
      </c>
      <c r="J50" s="107">
        <f>IF($F$8*12&lt;H50,$T$7-K50,0)</f>
        <v>4281.6572254745524</v>
      </c>
      <c r="K50" s="107">
        <f t="shared" si="4"/>
        <v>234.15370286344253</v>
      </c>
      <c r="L50" s="107">
        <f t="shared" si="1"/>
        <v>4515.8109283379954</v>
      </c>
      <c r="M50" s="107">
        <f t="shared" si="5"/>
        <v>65964.453633558209</v>
      </c>
    </row>
    <row r="51" spans="8:13" x14ac:dyDescent="0.2">
      <c r="H51" s="102">
        <v>46</v>
      </c>
      <c r="I51" s="106">
        <f t="shared" si="3"/>
        <v>46387</v>
      </c>
      <c r="J51" s="107">
        <f>IF($F$8*12&lt;H51,$T$7-K51,0)</f>
        <v>4295.9294162261349</v>
      </c>
      <c r="K51" s="107">
        <f t="shared" si="4"/>
        <v>219.8815121118607</v>
      </c>
      <c r="L51" s="107">
        <f t="shared" si="1"/>
        <v>4515.8109283379954</v>
      </c>
      <c r="M51" s="107">
        <f t="shared" si="5"/>
        <v>61668.524217332073</v>
      </c>
    </row>
    <row r="52" spans="8:13" x14ac:dyDescent="0.2">
      <c r="H52" s="102">
        <v>47</v>
      </c>
      <c r="I52" s="106">
        <f t="shared" si="3"/>
        <v>46418</v>
      </c>
      <c r="J52" s="107">
        <f>IF($F$8*12&lt;H52,$T$7-K52,0)</f>
        <v>4310.2491809468884</v>
      </c>
      <c r="K52" s="107">
        <f t="shared" si="4"/>
        <v>205.56174739110691</v>
      </c>
      <c r="L52" s="107">
        <f t="shared" si="1"/>
        <v>4515.8109283379954</v>
      </c>
      <c r="M52" s="107">
        <f t="shared" si="5"/>
        <v>57358.275036385181</v>
      </c>
    </row>
    <row r="53" spans="8:13" x14ac:dyDescent="0.2">
      <c r="H53" s="102">
        <v>48</v>
      </c>
      <c r="I53" s="106">
        <f t="shared" si="3"/>
        <v>46446</v>
      </c>
      <c r="J53" s="107">
        <f>IF($F$8*12&lt;H53,$T$7-K53,0)</f>
        <v>4324.6166782167111</v>
      </c>
      <c r="K53" s="107">
        <f t="shared" si="4"/>
        <v>191.19425012128394</v>
      </c>
      <c r="L53" s="107">
        <f t="shared" si="1"/>
        <v>4515.8109283379954</v>
      </c>
      <c r="M53" s="107">
        <f t="shared" si="5"/>
        <v>53033.658358168468</v>
      </c>
    </row>
    <row r="54" spans="8:13" x14ac:dyDescent="0.2">
      <c r="H54" s="102">
        <v>49</v>
      </c>
      <c r="I54" s="106">
        <f t="shared" si="3"/>
        <v>46477</v>
      </c>
      <c r="J54" s="107">
        <f>IF($F$8*12&lt;H54,$T$7-K54,0)</f>
        <v>4339.0320671441004</v>
      </c>
      <c r="K54" s="107">
        <f t="shared" si="4"/>
        <v>176.77886119389487</v>
      </c>
      <c r="L54" s="107">
        <f t="shared" ref="L54:L74" si="6">SUM(J54:K54)</f>
        <v>4515.8109283379954</v>
      </c>
      <c r="M54" s="107">
        <f t="shared" si="5"/>
        <v>48694.626291024368</v>
      </c>
    </row>
    <row r="55" spans="8:13" x14ac:dyDescent="0.2">
      <c r="H55" s="102">
        <v>50</v>
      </c>
      <c r="I55" s="106">
        <f t="shared" ref="I55:I74" si="7">EOMONTH(I54+1,0)</f>
        <v>46507</v>
      </c>
      <c r="J55" s="107">
        <f>IF($F$8*12&lt;H55,$T$7-K55,0)</f>
        <v>4353.4955073679139</v>
      </c>
      <c r="K55" s="107">
        <f t="shared" si="4"/>
        <v>162.31542097008122</v>
      </c>
      <c r="L55" s="107">
        <f t="shared" si="6"/>
        <v>4515.8109283379954</v>
      </c>
      <c r="M55" s="107">
        <f t="shared" ref="M55:M74" si="8">M54-J55</f>
        <v>44341.130783656452</v>
      </c>
    </row>
    <row r="56" spans="8:13" x14ac:dyDescent="0.2">
      <c r="H56" s="102">
        <v>51</v>
      </c>
      <c r="I56" s="106">
        <f t="shared" si="7"/>
        <v>46538</v>
      </c>
      <c r="J56" s="107">
        <f>IF($F$8*12&lt;H56,$T$7-K56,0)</f>
        <v>4368.0071590591406</v>
      </c>
      <c r="K56" s="107">
        <f t="shared" si="4"/>
        <v>147.80376927885484</v>
      </c>
      <c r="L56" s="107">
        <f t="shared" si="6"/>
        <v>4515.8109283379954</v>
      </c>
      <c r="M56" s="107">
        <f t="shared" si="8"/>
        <v>39973.123624597312</v>
      </c>
    </row>
    <row r="57" spans="8:13" x14ac:dyDescent="0.2">
      <c r="H57" s="102">
        <v>52</v>
      </c>
      <c r="I57" s="106">
        <f t="shared" si="7"/>
        <v>46568</v>
      </c>
      <c r="J57" s="107">
        <f>IF($F$8*12&lt;H57,$T$7-K57,0)</f>
        <v>4382.5671829226712</v>
      </c>
      <c r="K57" s="107">
        <f t="shared" si="4"/>
        <v>133.24374541532438</v>
      </c>
      <c r="L57" s="107">
        <f t="shared" si="6"/>
        <v>4515.8109283379954</v>
      </c>
      <c r="M57" s="107">
        <f t="shared" si="8"/>
        <v>35590.556441674642</v>
      </c>
    </row>
    <row r="58" spans="8:13" x14ac:dyDescent="0.2">
      <c r="H58" s="102">
        <v>53</v>
      </c>
      <c r="I58" s="106">
        <f t="shared" si="7"/>
        <v>46599</v>
      </c>
      <c r="J58" s="107">
        <f>IF($F$8*12&lt;H58,$T$7-K58,0)</f>
        <v>4397.1757401990799</v>
      </c>
      <c r="K58" s="107">
        <f t="shared" si="4"/>
        <v>118.63518813891547</v>
      </c>
      <c r="L58" s="107">
        <f t="shared" si="6"/>
        <v>4515.8109283379954</v>
      </c>
      <c r="M58" s="107">
        <f t="shared" si="8"/>
        <v>31193.380701475562</v>
      </c>
    </row>
    <row r="59" spans="8:13" x14ac:dyDescent="0.2">
      <c r="H59" s="102">
        <v>54</v>
      </c>
      <c r="I59" s="106">
        <f t="shared" si="7"/>
        <v>46630</v>
      </c>
      <c r="J59" s="107">
        <f>IF($F$8*12&lt;H59,$T$7-K59,0)</f>
        <v>4411.8329926664101</v>
      </c>
      <c r="K59" s="107">
        <f t="shared" si="4"/>
        <v>103.97793567158521</v>
      </c>
      <c r="L59" s="107">
        <f t="shared" si="6"/>
        <v>4515.8109283379954</v>
      </c>
      <c r="M59" s="107">
        <f t="shared" si="8"/>
        <v>26781.54770880915</v>
      </c>
    </row>
    <row r="60" spans="8:13" x14ac:dyDescent="0.2">
      <c r="H60" s="102">
        <v>55</v>
      </c>
      <c r="I60" s="106">
        <f t="shared" si="7"/>
        <v>46660</v>
      </c>
      <c r="J60" s="107">
        <f>IF($F$8*12&lt;H60,$T$7-K60,0)</f>
        <v>4426.5391026419647</v>
      </c>
      <c r="K60" s="107">
        <f t="shared" si="4"/>
        <v>89.27182569603049</v>
      </c>
      <c r="L60" s="107">
        <f t="shared" si="6"/>
        <v>4515.8109283379954</v>
      </c>
      <c r="M60" s="107">
        <f t="shared" si="8"/>
        <v>22355.008606167186</v>
      </c>
    </row>
    <row r="61" spans="8:13" x14ac:dyDescent="0.2">
      <c r="H61" s="102">
        <v>56</v>
      </c>
      <c r="I61" s="106">
        <f t="shared" si="7"/>
        <v>46691</v>
      </c>
      <c r="J61" s="107">
        <f>IF($F$8*12&lt;H61,$T$7-K61,0)</f>
        <v>4441.2942329841044</v>
      </c>
      <c r="K61" s="107">
        <f t="shared" si="4"/>
        <v>74.516695353890626</v>
      </c>
      <c r="L61" s="107">
        <f t="shared" si="6"/>
        <v>4515.8109283379954</v>
      </c>
      <c r="M61" s="107">
        <f t="shared" si="8"/>
        <v>17913.71437318308</v>
      </c>
    </row>
    <row r="62" spans="8:13" x14ac:dyDescent="0.2">
      <c r="H62" s="102">
        <v>57</v>
      </c>
      <c r="I62" s="106">
        <f t="shared" si="7"/>
        <v>46721</v>
      </c>
      <c r="J62" s="107">
        <f>IF($F$8*12&lt;H62,$T$7-K62,0)</f>
        <v>4456.0985470940514</v>
      </c>
      <c r="K62" s="107">
        <f t="shared" si="4"/>
        <v>59.712381243943604</v>
      </c>
      <c r="L62" s="107">
        <f t="shared" si="6"/>
        <v>4515.8109283379954</v>
      </c>
      <c r="M62" s="107">
        <f t="shared" si="8"/>
        <v>13457.61582608903</v>
      </c>
    </row>
    <row r="63" spans="8:13" x14ac:dyDescent="0.2">
      <c r="H63" s="102">
        <v>58</v>
      </c>
      <c r="I63" s="106">
        <f t="shared" si="7"/>
        <v>46752</v>
      </c>
      <c r="J63" s="107">
        <f>IF($F$8*12&lt;H63,$T$7-K63,0)</f>
        <v>4470.952208917699</v>
      </c>
      <c r="K63" s="107">
        <f t="shared" si="4"/>
        <v>44.858719420296772</v>
      </c>
      <c r="L63" s="107">
        <f t="shared" si="6"/>
        <v>4515.8109283379954</v>
      </c>
      <c r="M63" s="107">
        <f t="shared" si="8"/>
        <v>8986.6636171713308</v>
      </c>
    </row>
    <row r="64" spans="8:13" x14ac:dyDescent="0.2">
      <c r="H64" s="102">
        <v>59</v>
      </c>
      <c r="I64" s="106">
        <f t="shared" si="7"/>
        <v>46783</v>
      </c>
      <c r="J64" s="107">
        <f>IF($F$8*12&lt;H64,$T$7-K64,0)</f>
        <v>4485.855382947424</v>
      </c>
      <c r="K64" s="107">
        <f t="shared" si="4"/>
        <v>29.955545390571103</v>
      </c>
      <c r="L64" s="107">
        <f t="shared" si="6"/>
        <v>4515.8109283379954</v>
      </c>
      <c r="M64" s="107">
        <f t="shared" si="8"/>
        <v>4500.8082342239068</v>
      </c>
    </row>
    <row r="65" spans="8:13" hidden="1" x14ac:dyDescent="0.2">
      <c r="H65" s="102">
        <v>60</v>
      </c>
      <c r="I65" s="106">
        <f t="shared" si="7"/>
        <v>46812</v>
      </c>
      <c r="J65" s="107">
        <f>IF($F$8*12&lt;H65,$T$7-K65,0)</f>
        <v>4500.8082342239159</v>
      </c>
      <c r="K65" s="107">
        <f t="shared" si="4"/>
        <v>15.00269411407969</v>
      </c>
      <c r="L65" s="107">
        <f t="shared" si="6"/>
        <v>4515.8109283379954</v>
      </c>
      <c r="M65" s="107">
        <f t="shared" si="8"/>
        <v>-9.0949470177292824E-12</v>
      </c>
    </row>
    <row r="66" spans="8:13" hidden="1" x14ac:dyDescent="0.2">
      <c r="H66" s="102">
        <v>61</v>
      </c>
      <c r="I66" s="106">
        <f t="shared" si="7"/>
        <v>46843</v>
      </c>
      <c r="J66" s="107">
        <f>IF($F$8*12&lt;H66,$T$7-K66,0)</f>
        <v>4515.8109283379954</v>
      </c>
      <c r="K66" s="107">
        <f t="shared" si="4"/>
        <v>-3.0316490059097608E-14</v>
      </c>
      <c r="L66" s="107">
        <f t="shared" si="6"/>
        <v>4515.8109283379954</v>
      </c>
      <c r="M66" s="107">
        <f t="shared" si="8"/>
        <v>-4515.8109283380045</v>
      </c>
    </row>
    <row r="67" spans="8:13" hidden="1" x14ac:dyDescent="0.2">
      <c r="H67" s="102">
        <v>62</v>
      </c>
      <c r="I67" s="106">
        <f t="shared" si="7"/>
        <v>46873</v>
      </c>
      <c r="J67" s="107">
        <f>IF($F$8*12&lt;H67,$T$7-K67,0)</f>
        <v>4530.8636314324558</v>
      </c>
      <c r="K67" s="107">
        <f t="shared" si="4"/>
        <v>-15.052703094460014</v>
      </c>
      <c r="L67" s="107">
        <f t="shared" si="6"/>
        <v>4515.8109283379954</v>
      </c>
      <c r="M67" s="107">
        <f t="shared" si="8"/>
        <v>-9046.6745597704612</v>
      </c>
    </row>
    <row r="68" spans="8:13" hidden="1" x14ac:dyDescent="0.2">
      <c r="H68" s="102">
        <v>63</v>
      </c>
      <c r="I68" s="106">
        <f t="shared" si="7"/>
        <v>46904</v>
      </c>
      <c r="J68" s="107">
        <f>IF($F$8*12&lt;H68,$T$7-K68,0)</f>
        <v>4545.9665102038971</v>
      </c>
      <c r="K68" s="107">
        <f t="shared" si="4"/>
        <v>-30.155581865901539</v>
      </c>
      <c r="L68" s="107">
        <f t="shared" si="6"/>
        <v>4515.8109283379954</v>
      </c>
      <c r="M68" s="107">
        <f t="shared" si="8"/>
        <v>-13592.641069974357</v>
      </c>
    </row>
    <row r="69" spans="8:13" hidden="1" x14ac:dyDescent="0.2">
      <c r="H69" s="102">
        <v>64</v>
      </c>
      <c r="I69" s="106">
        <f t="shared" si="7"/>
        <v>46934</v>
      </c>
      <c r="J69" s="107">
        <f>IF($F$8*12&lt;H69,$T$7-K69,0)</f>
        <v>4561.1197319045768</v>
      </c>
      <c r="K69" s="107">
        <f t="shared" si="4"/>
        <v>-45.30880356658119</v>
      </c>
      <c r="L69" s="107">
        <f t="shared" si="6"/>
        <v>4515.8109283379954</v>
      </c>
      <c r="M69" s="107">
        <f t="shared" si="8"/>
        <v>-18153.760801878932</v>
      </c>
    </row>
    <row r="70" spans="8:13" hidden="1" x14ac:dyDescent="0.2">
      <c r="H70" s="102">
        <v>65</v>
      </c>
      <c r="I70" s="106">
        <f t="shared" si="7"/>
        <v>46965</v>
      </c>
      <c r="J70" s="107">
        <f>IF($F$8*12&lt;H70,$T$7-K70,0)</f>
        <v>4576.3234643442584</v>
      </c>
      <c r="K70" s="107">
        <f t="shared" ref="K70:K101" si="9">M69*$C$5/12</f>
        <v>-60.512536006263105</v>
      </c>
      <c r="L70" s="107">
        <f t="shared" si="6"/>
        <v>4515.8109283379954</v>
      </c>
      <c r="M70" s="107">
        <f t="shared" si="8"/>
        <v>-22730.084266223192</v>
      </c>
    </row>
    <row r="71" spans="8:13" hidden="1" x14ac:dyDescent="0.2">
      <c r="H71" s="102">
        <v>66</v>
      </c>
      <c r="I71" s="106">
        <f t="shared" si="7"/>
        <v>46996</v>
      </c>
      <c r="J71" s="107">
        <f>IF($F$8*12&lt;H71,$T$7-K71,0)</f>
        <v>4591.5778758920724</v>
      </c>
      <c r="K71" s="107">
        <f t="shared" si="9"/>
        <v>-75.766947554077305</v>
      </c>
      <c r="L71" s="107">
        <f t="shared" si="6"/>
        <v>4515.8109283379954</v>
      </c>
      <c r="M71" s="107">
        <f t="shared" si="8"/>
        <v>-27321.662142115263</v>
      </c>
    </row>
    <row r="72" spans="8:13" hidden="1" x14ac:dyDescent="0.2">
      <c r="H72" s="102">
        <v>67</v>
      </c>
      <c r="I72" s="106">
        <f t="shared" si="7"/>
        <v>47026</v>
      </c>
      <c r="J72" s="107">
        <f>IF($F$8*12&lt;H72,$T$7-K72,0)</f>
        <v>4606.8831354783797</v>
      </c>
      <c r="K72" s="107">
        <f t="shared" si="9"/>
        <v>-91.072207140384208</v>
      </c>
      <c r="L72" s="107">
        <f t="shared" si="6"/>
        <v>4515.8109283379954</v>
      </c>
      <c r="M72" s="107">
        <f t="shared" si="8"/>
        <v>-31928.545277593643</v>
      </c>
    </row>
    <row r="73" spans="8:13" hidden="1" x14ac:dyDescent="0.2">
      <c r="H73" s="102">
        <v>68</v>
      </c>
      <c r="I73" s="106">
        <f t="shared" si="7"/>
        <v>47057</v>
      </c>
      <c r="J73" s="107">
        <f>IF($F$8*12&lt;H73,$T$7-K73,0)</f>
        <v>4622.2394125966412</v>
      </c>
      <c r="K73" s="107">
        <f t="shared" si="9"/>
        <v>-106.42848425864548</v>
      </c>
      <c r="L73" s="107">
        <f t="shared" si="6"/>
        <v>4515.8109283379954</v>
      </c>
      <c r="M73" s="107">
        <f t="shared" si="8"/>
        <v>-36550.784690190281</v>
      </c>
    </row>
    <row r="74" spans="8:13" hidden="1" x14ac:dyDescent="0.2">
      <c r="H74" s="102">
        <v>69</v>
      </c>
      <c r="I74" s="106">
        <f t="shared" si="7"/>
        <v>47087</v>
      </c>
      <c r="J74" s="107">
        <f>IF($F$8*12&lt;H74,$T$7-K74,0)</f>
        <v>4637.6468773052966</v>
      </c>
      <c r="K74" s="107">
        <f t="shared" si="9"/>
        <v>-121.83594896730095</v>
      </c>
      <c r="L74" s="107">
        <f t="shared" si="6"/>
        <v>4515.8109283379954</v>
      </c>
      <c r="M74" s="107">
        <f t="shared" si="8"/>
        <v>-41188.43156749558</v>
      </c>
    </row>
    <row r="75" spans="8:13" hidden="1" x14ac:dyDescent="0.2">
      <c r="H75" s="102">
        <v>70</v>
      </c>
      <c r="I75" s="106">
        <f t="shared" ref="I75:I101" si="10">EOMONTH(I74+1,0)</f>
        <v>47118</v>
      </c>
      <c r="J75" s="107">
        <f>IF($F$8*12&lt;H75,$T$7-K75,0)</f>
        <v>4653.1057002296475</v>
      </c>
      <c r="K75" s="107">
        <f t="shared" si="9"/>
        <v>-137.29477189165195</v>
      </c>
      <c r="L75" s="107">
        <f t="shared" ref="L75:L101" si="11">SUM(J75:K75)</f>
        <v>4515.8109283379954</v>
      </c>
      <c r="M75" s="107">
        <f t="shared" ref="M75:M101" si="12">M74-J75</f>
        <v>-45841.537267725231</v>
      </c>
    </row>
    <row r="76" spans="8:13" hidden="1" x14ac:dyDescent="0.2">
      <c r="H76" s="102">
        <v>71</v>
      </c>
      <c r="I76" s="106">
        <f t="shared" si="10"/>
        <v>47149</v>
      </c>
      <c r="J76" s="107">
        <f>IF($F$8*12&lt;H76,$T$7-K76,0)</f>
        <v>4668.6160525637461</v>
      </c>
      <c r="K76" s="107">
        <f t="shared" si="9"/>
        <v>-152.80512422575077</v>
      </c>
      <c r="L76" s="107">
        <f t="shared" si="11"/>
        <v>4515.8109283379954</v>
      </c>
      <c r="M76" s="107">
        <f t="shared" si="12"/>
        <v>-50510.153320288977</v>
      </c>
    </row>
    <row r="77" spans="8:13" hidden="1" x14ac:dyDescent="0.2">
      <c r="H77" s="102">
        <v>72</v>
      </c>
      <c r="I77" s="106">
        <f t="shared" si="10"/>
        <v>47177</v>
      </c>
      <c r="J77" s="107">
        <f>IF($F$8*12&lt;H77,$T$7-K77,0)</f>
        <v>4684.1781060722924</v>
      </c>
      <c r="K77" s="107">
        <f t="shared" si="9"/>
        <v>-168.36717773429658</v>
      </c>
      <c r="L77" s="107">
        <f t="shared" si="11"/>
        <v>4515.8109283379954</v>
      </c>
      <c r="M77" s="107">
        <f t="shared" si="12"/>
        <v>-55194.33142636127</v>
      </c>
    </row>
    <row r="78" spans="8:13" hidden="1" x14ac:dyDescent="0.2">
      <c r="H78" s="102">
        <v>73</v>
      </c>
      <c r="I78" s="106">
        <f t="shared" si="10"/>
        <v>47208</v>
      </c>
      <c r="J78" s="107">
        <f>IF($F$8*12&lt;H78,$T$7-K78,0)</f>
        <v>4699.7920330925326</v>
      </c>
      <c r="K78" s="107">
        <f t="shared" si="9"/>
        <v>-183.98110475453757</v>
      </c>
      <c r="L78" s="107">
        <f t="shared" si="11"/>
        <v>4515.8109283379954</v>
      </c>
      <c r="M78" s="107">
        <f t="shared" si="12"/>
        <v>-59894.123459453804</v>
      </c>
    </row>
    <row r="79" spans="8:13" hidden="1" x14ac:dyDescent="0.2">
      <c r="H79" s="102">
        <v>74</v>
      </c>
      <c r="I79" s="106">
        <f t="shared" si="10"/>
        <v>47238</v>
      </c>
      <c r="J79" s="107">
        <f>IF($F$8*12&lt;H79,$T$7-K79,0)</f>
        <v>4715.4580065361752</v>
      </c>
      <c r="K79" s="107">
        <f t="shared" si="9"/>
        <v>-199.64707819817934</v>
      </c>
      <c r="L79" s="107">
        <f t="shared" si="11"/>
        <v>4515.8109283379954</v>
      </c>
      <c r="M79" s="107">
        <f t="shared" si="12"/>
        <v>-64609.581465989977</v>
      </c>
    </row>
    <row r="80" spans="8:13" hidden="1" x14ac:dyDescent="0.2">
      <c r="H80" s="102">
        <v>75</v>
      </c>
      <c r="I80" s="106">
        <f t="shared" si="10"/>
        <v>47269</v>
      </c>
      <c r="J80" s="107">
        <f>IF($F$8*12&lt;H80,$T$7-K80,0)</f>
        <v>4731.1761998912953</v>
      </c>
      <c r="K80" s="107">
        <f t="shared" si="9"/>
        <v>-215.36527155329995</v>
      </c>
      <c r="L80" s="107">
        <f t="shared" si="11"/>
        <v>4515.8109283379954</v>
      </c>
      <c r="M80" s="107">
        <f t="shared" si="12"/>
        <v>-69340.757665881276</v>
      </c>
    </row>
    <row r="81" spans="8:13" hidden="1" x14ac:dyDescent="0.2">
      <c r="H81" s="102">
        <v>76</v>
      </c>
      <c r="I81" s="106">
        <f t="shared" si="10"/>
        <v>47299</v>
      </c>
      <c r="J81" s="107">
        <f>IF($F$8*12&lt;H81,$T$7-K81,0)</f>
        <v>4746.9467872242667</v>
      </c>
      <c r="K81" s="107">
        <f t="shared" si="9"/>
        <v>-231.13585888627094</v>
      </c>
      <c r="L81" s="107">
        <f t="shared" si="11"/>
        <v>4515.8109283379954</v>
      </c>
      <c r="M81" s="107">
        <f t="shared" si="12"/>
        <v>-74087.704453105544</v>
      </c>
    </row>
    <row r="82" spans="8:13" hidden="1" x14ac:dyDescent="0.2">
      <c r="H82" s="102">
        <v>77</v>
      </c>
      <c r="I82" s="106">
        <f t="shared" si="10"/>
        <v>47330</v>
      </c>
      <c r="J82" s="107">
        <f>IF($F$8*12&lt;H82,$T$7-K82,0)</f>
        <v>4762.7699431816809</v>
      </c>
      <c r="K82" s="107">
        <f t="shared" si="9"/>
        <v>-246.95901484368517</v>
      </c>
      <c r="L82" s="107">
        <f t="shared" si="11"/>
        <v>4515.8109283379954</v>
      </c>
      <c r="M82" s="107">
        <f t="shared" si="12"/>
        <v>-78850.474396287231</v>
      </c>
    </row>
    <row r="83" spans="8:13" hidden="1" x14ac:dyDescent="0.2">
      <c r="H83" s="102">
        <v>78</v>
      </c>
      <c r="I83" s="106">
        <f t="shared" si="10"/>
        <v>47361</v>
      </c>
      <c r="J83" s="107">
        <f>IF($F$8*12&lt;H83,$T$7-K83,0)</f>
        <v>4778.6458429922859</v>
      </c>
      <c r="K83" s="107">
        <f t="shared" si="9"/>
        <v>-262.8349146542908</v>
      </c>
      <c r="L83" s="107">
        <f t="shared" si="11"/>
        <v>4515.8109283379954</v>
      </c>
      <c r="M83" s="107">
        <f t="shared" si="12"/>
        <v>-83629.120239279524</v>
      </c>
    </row>
    <row r="84" spans="8:13" hidden="1" x14ac:dyDescent="0.2">
      <c r="H84" s="102">
        <v>79</v>
      </c>
      <c r="I84" s="106">
        <f t="shared" si="10"/>
        <v>47391</v>
      </c>
      <c r="J84" s="107">
        <f>IF($F$8*12&lt;H84,$T$7-K84,0)</f>
        <v>4794.5746624689273</v>
      </c>
      <c r="K84" s="107">
        <f t="shared" si="9"/>
        <v>-278.76373413093177</v>
      </c>
      <c r="L84" s="107">
        <f t="shared" si="11"/>
        <v>4515.8109283379954</v>
      </c>
      <c r="M84" s="107">
        <f t="shared" si="12"/>
        <v>-88423.694901748444</v>
      </c>
    </row>
    <row r="85" spans="8:13" hidden="1" x14ac:dyDescent="0.2">
      <c r="H85" s="102">
        <v>80</v>
      </c>
      <c r="I85" s="106">
        <f t="shared" si="10"/>
        <v>47422</v>
      </c>
      <c r="J85" s="107">
        <f>IF($F$8*12&lt;H85,$T$7-K85,0)</f>
        <v>4810.5565780104898</v>
      </c>
      <c r="K85" s="107">
        <f t="shared" si="9"/>
        <v>-294.74564967249484</v>
      </c>
      <c r="L85" s="107">
        <f t="shared" si="11"/>
        <v>4515.8109283379954</v>
      </c>
      <c r="M85" s="107">
        <f t="shared" si="12"/>
        <v>-93234.251479758939</v>
      </c>
    </row>
    <row r="86" spans="8:13" hidden="1" x14ac:dyDescent="0.2">
      <c r="H86" s="102">
        <v>81</v>
      </c>
      <c r="I86" s="106">
        <f t="shared" si="10"/>
        <v>47452</v>
      </c>
      <c r="J86" s="107">
        <f>IF($F$8*12&lt;H86,$T$7-K86,0)</f>
        <v>4826.5917666038586</v>
      </c>
      <c r="K86" s="107">
        <f t="shared" si="9"/>
        <v>-310.78083826586311</v>
      </c>
      <c r="L86" s="107">
        <f t="shared" si="11"/>
        <v>4515.8109283379954</v>
      </c>
      <c r="M86" s="107">
        <f t="shared" si="12"/>
        <v>-98060.843246362798</v>
      </c>
    </row>
    <row r="87" spans="8:13" hidden="1" x14ac:dyDescent="0.2">
      <c r="H87" s="102">
        <v>82</v>
      </c>
      <c r="I87" s="106">
        <f t="shared" si="10"/>
        <v>47483</v>
      </c>
      <c r="J87" s="107">
        <f>IF($F$8*12&lt;H87,$T$7-K87,0)</f>
        <v>4842.6804058258713</v>
      </c>
      <c r="K87" s="107">
        <f t="shared" si="9"/>
        <v>-326.869477487876</v>
      </c>
      <c r="L87" s="107">
        <f t="shared" si="11"/>
        <v>4515.8109283379954</v>
      </c>
      <c r="M87" s="107">
        <f t="shared" si="12"/>
        <v>-102903.52365218867</v>
      </c>
    </row>
    <row r="88" spans="8:13" hidden="1" x14ac:dyDescent="0.2">
      <c r="H88" s="102">
        <v>83</v>
      </c>
      <c r="I88" s="106">
        <f t="shared" si="10"/>
        <v>47514</v>
      </c>
      <c r="J88" s="107">
        <f>IF($F$8*12&lt;H88,$T$7-K88,0)</f>
        <v>4858.8226738452913</v>
      </c>
      <c r="K88" s="107">
        <f t="shared" si="9"/>
        <v>-343.01174550729553</v>
      </c>
      <c r="L88" s="107">
        <f t="shared" si="11"/>
        <v>4515.8109283379954</v>
      </c>
      <c r="M88" s="107">
        <f t="shared" si="12"/>
        <v>-107762.34632603396</v>
      </c>
    </row>
    <row r="89" spans="8:13" hidden="1" x14ac:dyDescent="0.2">
      <c r="H89" s="102">
        <v>84</v>
      </c>
      <c r="I89" s="106">
        <f t="shared" si="10"/>
        <v>47542</v>
      </c>
      <c r="J89" s="107">
        <f>IF($F$8*12&lt;H89,$T$7-K89,0)</f>
        <v>4875.0187494247748</v>
      </c>
      <c r="K89" s="107">
        <f t="shared" si="9"/>
        <v>-359.20782108677986</v>
      </c>
      <c r="L89" s="107">
        <f t="shared" si="11"/>
        <v>4515.8109283379945</v>
      </c>
      <c r="M89" s="107">
        <f t="shared" si="12"/>
        <v>-112637.36507545874</v>
      </c>
    </row>
    <row r="90" spans="8:13" hidden="1" x14ac:dyDescent="0.2">
      <c r="H90" s="102">
        <v>85</v>
      </c>
      <c r="I90" s="106">
        <f t="shared" si="10"/>
        <v>47573</v>
      </c>
      <c r="J90" s="107">
        <f>IF($F$8*12&lt;H90,$T$7-K90,0)</f>
        <v>4891.2688119228578</v>
      </c>
      <c r="K90" s="107">
        <f t="shared" si="9"/>
        <v>-375.45788358486249</v>
      </c>
      <c r="L90" s="107">
        <f t="shared" si="11"/>
        <v>4515.8109283379954</v>
      </c>
      <c r="M90" s="107">
        <f t="shared" si="12"/>
        <v>-117528.6338873816</v>
      </c>
    </row>
    <row r="91" spans="8:13" hidden="1" x14ac:dyDescent="0.2">
      <c r="H91" s="102">
        <v>86</v>
      </c>
      <c r="I91" s="106">
        <f t="shared" si="10"/>
        <v>47603</v>
      </c>
      <c r="J91" s="107">
        <f>IF($F$8*12&lt;H91,$T$7-K91,0)</f>
        <v>4907.5730412959338</v>
      </c>
      <c r="K91" s="107">
        <f t="shared" si="9"/>
        <v>-391.76211295793865</v>
      </c>
      <c r="L91" s="107">
        <f t="shared" si="11"/>
        <v>4515.8109283379954</v>
      </c>
      <c r="M91" s="107">
        <f t="shared" si="12"/>
        <v>-122436.20692867754</v>
      </c>
    </row>
    <row r="92" spans="8:13" hidden="1" x14ac:dyDescent="0.2">
      <c r="H92" s="102">
        <v>87</v>
      </c>
      <c r="I92" s="106">
        <f t="shared" si="10"/>
        <v>47634</v>
      </c>
      <c r="J92" s="107">
        <f>IF($F$8*12&lt;H92,$T$7-K92,0)</f>
        <v>4923.9316181002541</v>
      </c>
      <c r="K92" s="107">
        <f t="shared" si="9"/>
        <v>-408.12068976225845</v>
      </c>
      <c r="L92" s="107">
        <f t="shared" si="11"/>
        <v>4515.8109283379954</v>
      </c>
      <c r="M92" s="107">
        <f t="shared" si="12"/>
        <v>-127360.13854677779</v>
      </c>
    </row>
    <row r="93" spans="8:13" hidden="1" x14ac:dyDescent="0.2">
      <c r="H93" s="102">
        <v>88</v>
      </c>
      <c r="I93" s="106">
        <f t="shared" si="10"/>
        <v>47664</v>
      </c>
      <c r="J93" s="107">
        <f>IF($F$8*12&lt;H93,$T$7-K93,0)</f>
        <v>4940.3447234939213</v>
      </c>
      <c r="K93" s="107">
        <f t="shared" si="9"/>
        <v>-424.53379515592593</v>
      </c>
      <c r="L93" s="107">
        <f t="shared" si="11"/>
        <v>4515.8109283379954</v>
      </c>
      <c r="M93" s="107">
        <f t="shared" si="12"/>
        <v>-132300.48327027171</v>
      </c>
    </row>
    <row r="94" spans="8:13" hidden="1" x14ac:dyDescent="0.2">
      <c r="H94" s="102">
        <v>89</v>
      </c>
      <c r="I94" s="106">
        <f t="shared" si="10"/>
        <v>47695</v>
      </c>
      <c r="J94" s="107">
        <f>IF($F$8*12&lt;H94,$T$7-K94,0)</f>
        <v>4956.8125392389011</v>
      </c>
      <c r="K94" s="107">
        <f t="shared" si="9"/>
        <v>-441.00161090090569</v>
      </c>
      <c r="L94" s="107">
        <f t="shared" si="11"/>
        <v>4515.8109283379954</v>
      </c>
      <c r="M94" s="107">
        <f t="shared" si="12"/>
        <v>-137257.2958095106</v>
      </c>
    </row>
    <row r="95" spans="8:13" hidden="1" x14ac:dyDescent="0.2">
      <c r="H95" s="102">
        <v>90</v>
      </c>
      <c r="I95" s="106">
        <f t="shared" si="10"/>
        <v>47726</v>
      </c>
      <c r="J95" s="107">
        <f>IF($F$8*12&lt;H95,$T$7-K95,0)</f>
        <v>4973.3352477030312</v>
      </c>
      <c r="K95" s="107">
        <f t="shared" si="9"/>
        <v>-457.52431936503535</v>
      </c>
      <c r="L95" s="107">
        <f t="shared" si="11"/>
        <v>4515.8109283379963</v>
      </c>
      <c r="M95" s="107">
        <f t="shared" si="12"/>
        <v>-142230.63105721364</v>
      </c>
    </row>
    <row r="96" spans="8:13" hidden="1" x14ac:dyDescent="0.2">
      <c r="H96" s="102">
        <v>91</v>
      </c>
      <c r="I96" s="106">
        <f t="shared" si="10"/>
        <v>47756</v>
      </c>
      <c r="J96" s="107">
        <f>IF($F$8*12&lt;H96,$T$7-K96,0)</f>
        <v>4989.913031862041</v>
      </c>
      <c r="K96" s="107">
        <f t="shared" si="9"/>
        <v>-474.1021035240455</v>
      </c>
      <c r="L96" s="107">
        <f t="shared" si="11"/>
        <v>4515.8109283379954</v>
      </c>
      <c r="M96" s="107">
        <f t="shared" si="12"/>
        <v>-147220.54408907567</v>
      </c>
    </row>
    <row r="97" spans="8:13" hidden="1" x14ac:dyDescent="0.2">
      <c r="H97" s="102">
        <v>92</v>
      </c>
      <c r="I97" s="106">
        <f t="shared" si="10"/>
        <v>47787</v>
      </c>
      <c r="J97" s="107">
        <f>IF($F$8*12&lt;H97,$T$7-K97,0)</f>
        <v>5006.5460753015814</v>
      </c>
      <c r="K97" s="107">
        <f t="shared" si="9"/>
        <v>-490.73514696358558</v>
      </c>
      <c r="L97" s="107">
        <f t="shared" si="11"/>
        <v>4515.8109283379954</v>
      </c>
      <c r="M97" s="107">
        <f t="shared" si="12"/>
        <v>-152227.09016437727</v>
      </c>
    </row>
    <row r="98" spans="8:13" hidden="1" x14ac:dyDescent="0.2">
      <c r="H98" s="102">
        <v>93</v>
      </c>
      <c r="I98" s="106">
        <f t="shared" si="10"/>
        <v>47817</v>
      </c>
      <c r="J98" s="107">
        <f>IF($F$8*12&lt;H98,$T$7-K98,0)</f>
        <v>5023.2345622192533</v>
      </c>
      <c r="K98" s="107">
        <f t="shared" si="9"/>
        <v>-507.42363388125756</v>
      </c>
      <c r="L98" s="107">
        <f t="shared" si="11"/>
        <v>4515.8109283379954</v>
      </c>
      <c r="M98" s="107">
        <f t="shared" si="12"/>
        <v>-157250.32472659653</v>
      </c>
    </row>
    <row r="99" spans="8:13" hidden="1" x14ac:dyDescent="0.2">
      <c r="H99" s="102">
        <v>94</v>
      </c>
      <c r="I99" s="106">
        <f t="shared" si="10"/>
        <v>47848</v>
      </c>
      <c r="J99" s="107">
        <f>IF($F$8*12&lt;H99,$T$7-K99,0)</f>
        <v>5039.9786774266504</v>
      </c>
      <c r="K99" s="107">
        <f t="shared" si="9"/>
        <v>-524.16774908865511</v>
      </c>
      <c r="L99" s="107">
        <f t="shared" si="11"/>
        <v>4515.8109283379954</v>
      </c>
      <c r="M99" s="107">
        <f t="shared" si="12"/>
        <v>-162290.30340402317</v>
      </c>
    </row>
    <row r="100" spans="8:13" hidden="1" x14ac:dyDescent="0.2">
      <c r="H100" s="102">
        <v>95</v>
      </c>
      <c r="I100" s="106">
        <f t="shared" si="10"/>
        <v>47879</v>
      </c>
      <c r="J100" s="107">
        <f>IF($F$8*12&lt;H100,$T$7-K100,0)</f>
        <v>5056.7786063514059</v>
      </c>
      <c r="K100" s="107">
        <f t="shared" si="9"/>
        <v>-540.96767801341059</v>
      </c>
      <c r="L100" s="107">
        <f t="shared" si="11"/>
        <v>4515.8109283379954</v>
      </c>
      <c r="M100" s="107">
        <f t="shared" si="12"/>
        <v>-167347.08201037458</v>
      </c>
    </row>
    <row r="101" spans="8:13" hidden="1" x14ac:dyDescent="0.2">
      <c r="H101" s="102">
        <v>96</v>
      </c>
      <c r="I101" s="106">
        <f t="shared" si="10"/>
        <v>47907</v>
      </c>
      <c r="J101" s="107">
        <f>IF($F$8*12&lt;H101,$T$7-K101,0)</f>
        <v>5073.6345350392439</v>
      </c>
      <c r="K101" s="107">
        <f t="shared" si="9"/>
        <v>-557.82360670124865</v>
      </c>
      <c r="L101" s="107">
        <f t="shared" si="11"/>
        <v>4515.8109283379954</v>
      </c>
      <c r="M101" s="107">
        <f t="shared" si="12"/>
        <v>-172420.71654541383</v>
      </c>
    </row>
    <row r="102" spans="8:13" hidden="1" x14ac:dyDescent="0.2">
      <c r="H102" s="102">
        <v>97</v>
      </c>
      <c r="I102" s="106">
        <f t="shared" ref="I102:I125" si="13">EOMONTH(I101+1,0)</f>
        <v>47938</v>
      </c>
      <c r="J102" s="107">
        <f>IF($F$8*12&lt;H102,$T$7-K102,0)</f>
        <v>5090.5466501560413</v>
      </c>
      <c r="K102" s="107">
        <f t="shared" ref="K102:K125" si="14">M101*$C$5/12</f>
        <v>-574.73572181804604</v>
      </c>
      <c r="L102" s="107">
        <f t="shared" ref="L102:L125" si="15">SUM(J102:K102)</f>
        <v>4515.8109283379954</v>
      </c>
      <c r="M102" s="107">
        <f t="shared" ref="M102:M125" si="16">M101-J102</f>
        <v>-177511.26319556986</v>
      </c>
    </row>
    <row r="103" spans="8:13" hidden="1" x14ac:dyDescent="0.2">
      <c r="H103" s="102">
        <v>98</v>
      </c>
      <c r="I103" s="106">
        <f t="shared" si="13"/>
        <v>47968</v>
      </c>
      <c r="J103" s="107">
        <f>IF($F$8*12&lt;H103,$T$7-K103,0)</f>
        <v>5107.5151389898947</v>
      </c>
      <c r="K103" s="107">
        <f t="shared" si="14"/>
        <v>-591.70421065189953</v>
      </c>
      <c r="L103" s="107">
        <f t="shared" si="15"/>
        <v>4515.8109283379954</v>
      </c>
      <c r="M103" s="107">
        <f t="shared" si="16"/>
        <v>-182618.77833455976</v>
      </c>
    </row>
    <row r="104" spans="8:13" hidden="1" x14ac:dyDescent="0.2">
      <c r="H104" s="102">
        <v>99</v>
      </c>
      <c r="I104" s="106">
        <f t="shared" si="13"/>
        <v>47999</v>
      </c>
      <c r="J104" s="107">
        <f>IF($F$8*12&lt;H104,$T$7-K104,0)</f>
        <v>5124.5401894531942</v>
      </c>
      <c r="K104" s="107">
        <f t="shared" si="14"/>
        <v>-608.72926111519917</v>
      </c>
      <c r="L104" s="107">
        <f t="shared" si="15"/>
        <v>4515.8109283379954</v>
      </c>
      <c r="M104" s="107">
        <f t="shared" si="16"/>
        <v>-187743.31852401295</v>
      </c>
    </row>
    <row r="105" spans="8:13" hidden="1" x14ac:dyDescent="0.2">
      <c r="H105" s="102">
        <v>100</v>
      </c>
      <c r="I105" s="106">
        <f t="shared" si="13"/>
        <v>48029</v>
      </c>
      <c r="J105" s="107">
        <f>IF($F$8*12&lt;H105,$T$7-K105,0)</f>
        <v>5141.6219900847054</v>
      </c>
      <c r="K105" s="107">
        <f t="shared" si="14"/>
        <v>-625.81106174670992</v>
      </c>
      <c r="L105" s="107">
        <f t="shared" si="15"/>
        <v>4515.8109283379954</v>
      </c>
      <c r="M105" s="107">
        <f t="shared" si="16"/>
        <v>-192884.94051409766</v>
      </c>
    </row>
    <row r="106" spans="8:13" hidden="1" x14ac:dyDescent="0.2">
      <c r="H106" s="102">
        <v>101</v>
      </c>
      <c r="I106" s="106">
        <f t="shared" si="13"/>
        <v>48060</v>
      </c>
      <c r="J106" s="107">
        <f>IF($F$8*12&lt;H106,$T$7-K106,0)</f>
        <v>5158.7607300516538</v>
      </c>
      <c r="K106" s="107">
        <f t="shared" si="14"/>
        <v>-642.94980171365887</v>
      </c>
      <c r="L106" s="107">
        <f t="shared" si="15"/>
        <v>4515.8109283379945</v>
      </c>
      <c r="M106" s="107">
        <f t="shared" si="16"/>
        <v>-198043.7012441493</v>
      </c>
    </row>
    <row r="107" spans="8:13" hidden="1" x14ac:dyDescent="0.2">
      <c r="H107" s="102">
        <v>102</v>
      </c>
      <c r="I107" s="106">
        <f t="shared" si="13"/>
        <v>48091</v>
      </c>
      <c r="J107" s="107">
        <f>IF($F$8*12&lt;H107,$T$7-K107,0)</f>
        <v>5175.9565991518266</v>
      </c>
      <c r="K107" s="107">
        <f t="shared" si="14"/>
        <v>-660.14567081383098</v>
      </c>
      <c r="L107" s="107">
        <f t="shared" si="15"/>
        <v>4515.8109283379954</v>
      </c>
      <c r="M107" s="107">
        <f t="shared" si="16"/>
        <v>-203219.65784330113</v>
      </c>
    </row>
    <row r="108" spans="8:13" hidden="1" x14ac:dyDescent="0.2">
      <c r="H108" s="102">
        <v>103</v>
      </c>
      <c r="I108" s="106">
        <f t="shared" si="13"/>
        <v>48121</v>
      </c>
      <c r="J108" s="107">
        <f>IF($F$8*12&lt;H108,$T$7-K108,0)</f>
        <v>5193.2097878156655</v>
      </c>
      <c r="K108" s="107">
        <f t="shared" si="14"/>
        <v>-677.3988594776705</v>
      </c>
      <c r="L108" s="107">
        <f t="shared" si="15"/>
        <v>4515.8109283379954</v>
      </c>
      <c r="M108" s="107">
        <f t="shared" si="16"/>
        <v>-208412.86763111679</v>
      </c>
    </row>
    <row r="109" spans="8:13" hidden="1" x14ac:dyDescent="0.2">
      <c r="H109" s="102">
        <v>104</v>
      </c>
      <c r="I109" s="106">
        <f t="shared" si="13"/>
        <v>48152</v>
      </c>
      <c r="J109" s="107">
        <f>IF($F$8*12&lt;H109,$T$7-K109,0)</f>
        <v>5210.5204871083843</v>
      </c>
      <c r="K109" s="107">
        <f t="shared" si="14"/>
        <v>-694.70955877038932</v>
      </c>
      <c r="L109" s="107">
        <f t="shared" si="15"/>
        <v>4515.8109283379945</v>
      </c>
      <c r="M109" s="107">
        <f t="shared" si="16"/>
        <v>-213623.38811822518</v>
      </c>
    </row>
    <row r="110" spans="8:13" hidden="1" x14ac:dyDescent="0.2">
      <c r="H110" s="102">
        <v>105</v>
      </c>
      <c r="I110" s="106">
        <f t="shared" si="13"/>
        <v>48182</v>
      </c>
      <c r="J110" s="107">
        <f>IF($F$8*12&lt;H110,$T$7-K110,0)</f>
        <v>5227.8888887320791</v>
      </c>
      <c r="K110" s="107">
        <f t="shared" si="14"/>
        <v>-712.07796039408402</v>
      </c>
      <c r="L110" s="107">
        <f t="shared" si="15"/>
        <v>4515.8109283379954</v>
      </c>
      <c r="M110" s="107">
        <f t="shared" si="16"/>
        <v>-218851.27700695727</v>
      </c>
    </row>
    <row r="111" spans="8:13" hidden="1" x14ac:dyDescent="0.2">
      <c r="H111" s="102">
        <v>106</v>
      </c>
      <c r="I111" s="106">
        <f t="shared" si="13"/>
        <v>48213</v>
      </c>
      <c r="J111" s="107">
        <f>IF($F$8*12&lt;H111,$T$7-K111,0)</f>
        <v>5245.3151850278527</v>
      </c>
      <c r="K111" s="107">
        <f t="shared" si="14"/>
        <v>-729.5042566898577</v>
      </c>
      <c r="L111" s="107">
        <f t="shared" si="15"/>
        <v>4515.8109283379954</v>
      </c>
      <c r="M111" s="107">
        <f t="shared" si="16"/>
        <v>-224096.59219198514</v>
      </c>
    </row>
    <row r="112" spans="8:13" hidden="1" x14ac:dyDescent="0.2">
      <c r="H112" s="102">
        <v>107</v>
      </c>
      <c r="I112" s="106">
        <f t="shared" si="13"/>
        <v>48244</v>
      </c>
      <c r="J112" s="107">
        <f>IF($F$8*12&lt;H112,$T$7-K112,0)</f>
        <v>5262.7995689779455</v>
      </c>
      <c r="K112" s="107">
        <f t="shared" si="14"/>
        <v>-746.98864063995052</v>
      </c>
      <c r="L112" s="107">
        <f t="shared" si="15"/>
        <v>4515.8109283379945</v>
      </c>
      <c r="M112" s="107">
        <f t="shared" si="16"/>
        <v>-229359.39176096307</v>
      </c>
    </row>
    <row r="113" spans="8:13" hidden="1" x14ac:dyDescent="0.2">
      <c r="H113" s="102">
        <v>108</v>
      </c>
      <c r="I113" s="106">
        <f t="shared" si="13"/>
        <v>48273</v>
      </c>
      <c r="J113" s="107">
        <f>IF($F$8*12&lt;H113,$T$7-K113,0)</f>
        <v>5280.342234207872</v>
      </c>
      <c r="K113" s="107">
        <f t="shared" si="14"/>
        <v>-764.53130586987697</v>
      </c>
      <c r="L113" s="107">
        <f t="shared" si="15"/>
        <v>4515.8109283379954</v>
      </c>
      <c r="M113" s="107">
        <f t="shared" si="16"/>
        <v>-234639.73399517094</v>
      </c>
    </row>
    <row r="114" spans="8:13" hidden="1" x14ac:dyDescent="0.2">
      <c r="H114" s="102">
        <v>109</v>
      </c>
      <c r="I114" s="106">
        <f t="shared" si="13"/>
        <v>48304</v>
      </c>
      <c r="J114" s="107">
        <f>IF($F$8*12&lt;H114,$T$7-K114,0)</f>
        <v>5297.9433749885648</v>
      </c>
      <c r="K114" s="107">
        <f t="shared" si="14"/>
        <v>-782.13244665056982</v>
      </c>
      <c r="L114" s="107">
        <f t="shared" si="15"/>
        <v>4515.8109283379945</v>
      </c>
      <c r="M114" s="107">
        <f t="shared" si="16"/>
        <v>-239937.67737015951</v>
      </c>
    </row>
    <row r="115" spans="8:13" hidden="1" x14ac:dyDescent="0.2">
      <c r="H115" s="102">
        <v>110</v>
      </c>
      <c r="I115" s="106">
        <f t="shared" si="13"/>
        <v>48334</v>
      </c>
      <c r="J115" s="107">
        <f>IF($F$8*12&lt;H115,$T$7-K115,0)</f>
        <v>5315.6031862385271</v>
      </c>
      <c r="K115" s="107">
        <f t="shared" si="14"/>
        <v>-799.79225790053169</v>
      </c>
      <c r="L115" s="107">
        <f t="shared" si="15"/>
        <v>4515.8109283379954</v>
      </c>
      <c r="M115" s="107">
        <f t="shared" si="16"/>
        <v>-245253.28055639804</v>
      </c>
    </row>
    <row r="116" spans="8:13" hidden="1" x14ac:dyDescent="0.2">
      <c r="H116" s="102">
        <v>111</v>
      </c>
      <c r="I116" s="106">
        <f t="shared" si="13"/>
        <v>48365</v>
      </c>
      <c r="J116" s="107">
        <f>IF($F$8*12&lt;H116,$T$7-K116,0)</f>
        <v>5333.3218635259891</v>
      </c>
      <c r="K116" s="107">
        <f t="shared" si="14"/>
        <v>-817.51093518799337</v>
      </c>
      <c r="L116" s="107">
        <f t="shared" si="15"/>
        <v>4515.8109283379954</v>
      </c>
      <c r="M116" s="107">
        <f t="shared" si="16"/>
        <v>-250586.60241992402</v>
      </c>
    </row>
    <row r="117" spans="8:13" hidden="1" x14ac:dyDescent="0.2">
      <c r="H117" s="102">
        <v>112</v>
      </c>
      <c r="I117" s="106">
        <f t="shared" si="13"/>
        <v>48395</v>
      </c>
      <c r="J117" s="107">
        <f>IF($F$8*12&lt;H117,$T$7-K117,0)</f>
        <v>5351.0996030710758</v>
      </c>
      <c r="K117" s="107">
        <f t="shared" si="14"/>
        <v>-835.28867473308003</v>
      </c>
      <c r="L117" s="107">
        <f t="shared" si="15"/>
        <v>4515.8109283379954</v>
      </c>
      <c r="M117" s="107">
        <f t="shared" si="16"/>
        <v>-255937.7020229951</v>
      </c>
    </row>
    <row r="118" spans="8:13" hidden="1" x14ac:dyDescent="0.2">
      <c r="H118" s="102">
        <v>113</v>
      </c>
      <c r="I118" s="106">
        <f t="shared" si="13"/>
        <v>48426</v>
      </c>
      <c r="J118" s="107">
        <f>IF($F$8*12&lt;H118,$T$7-K118,0)</f>
        <v>5368.9366017479788</v>
      </c>
      <c r="K118" s="107">
        <f t="shared" si="14"/>
        <v>-853.12567340998373</v>
      </c>
      <c r="L118" s="107">
        <f t="shared" si="15"/>
        <v>4515.8109283379954</v>
      </c>
      <c r="M118" s="107">
        <f t="shared" si="16"/>
        <v>-261306.63862474309</v>
      </c>
    </row>
    <row r="119" spans="8:13" hidden="1" x14ac:dyDescent="0.2">
      <c r="H119" s="102">
        <v>114</v>
      </c>
      <c r="I119" s="106">
        <f t="shared" si="13"/>
        <v>48457</v>
      </c>
      <c r="J119" s="107">
        <f>IF($F$8*12&lt;H119,$T$7-K119,0)</f>
        <v>5386.8330570871394</v>
      </c>
      <c r="K119" s="107">
        <f t="shared" si="14"/>
        <v>-871.02212874914369</v>
      </c>
      <c r="L119" s="107">
        <f t="shared" si="15"/>
        <v>4515.8109283379954</v>
      </c>
      <c r="M119" s="107">
        <f t="shared" si="16"/>
        <v>-266693.47168183024</v>
      </c>
    </row>
    <row r="120" spans="8:13" hidden="1" x14ac:dyDescent="0.2">
      <c r="H120" s="102">
        <v>115</v>
      </c>
      <c r="I120" s="106">
        <f t="shared" si="13"/>
        <v>48487</v>
      </c>
      <c r="J120" s="107">
        <f>IF($F$8*12&lt;H120,$T$7-K120,0)</f>
        <v>5404.7891672774294</v>
      </c>
      <c r="K120" s="107">
        <f t="shared" si="14"/>
        <v>-888.97823893943416</v>
      </c>
      <c r="L120" s="107">
        <f t="shared" si="15"/>
        <v>4515.8109283379954</v>
      </c>
      <c r="M120" s="107">
        <f t="shared" si="16"/>
        <v>-272098.2608491077</v>
      </c>
    </row>
    <row r="121" spans="8:13" hidden="1" x14ac:dyDescent="0.2">
      <c r="H121" s="102">
        <v>116</v>
      </c>
      <c r="I121" s="106">
        <f t="shared" si="13"/>
        <v>48518</v>
      </c>
      <c r="J121" s="107">
        <f>IF($F$8*12&lt;H121,$T$7-K121,0)</f>
        <v>5422.8051311683539</v>
      </c>
      <c r="K121" s="107">
        <f t="shared" si="14"/>
        <v>-906.99420283035897</v>
      </c>
      <c r="L121" s="107">
        <f t="shared" si="15"/>
        <v>4515.8109283379945</v>
      </c>
      <c r="M121" s="107">
        <f t="shared" si="16"/>
        <v>-277521.06598027603</v>
      </c>
    </row>
    <row r="122" spans="8:13" hidden="1" x14ac:dyDescent="0.2">
      <c r="H122" s="102">
        <v>117</v>
      </c>
      <c r="I122" s="106">
        <f t="shared" si="13"/>
        <v>48548</v>
      </c>
      <c r="J122" s="107">
        <f>IF($F$8*12&lt;H122,$T$7-K122,0)</f>
        <v>5440.8811482722485</v>
      </c>
      <c r="K122" s="107">
        <f t="shared" si="14"/>
        <v>-925.07021993425349</v>
      </c>
      <c r="L122" s="107">
        <f t="shared" si="15"/>
        <v>4515.8109283379954</v>
      </c>
      <c r="M122" s="107">
        <f t="shared" si="16"/>
        <v>-282961.94712854829</v>
      </c>
    </row>
    <row r="123" spans="8:13" hidden="1" x14ac:dyDescent="0.2">
      <c r="H123" s="102">
        <v>118</v>
      </c>
      <c r="I123" s="106">
        <f t="shared" si="13"/>
        <v>48579</v>
      </c>
      <c r="J123" s="107">
        <f>IF($F$8*12&lt;H123,$T$7-K123,0)</f>
        <v>5459.0174187664898</v>
      </c>
      <c r="K123" s="107">
        <f t="shared" si="14"/>
        <v>-943.20649042849436</v>
      </c>
      <c r="L123" s="107">
        <f t="shared" si="15"/>
        <v>4515.8109283379954</v>
      </c>
      <c r="M123" s="107">
        <f t="shared" si="16"/>
        <v>-288420.9645473148</v>
      </c>
    </row>
    <row r="124" spans="8:13" hidden="1" x14ac:dyDescent="0.2">
      <c r="H124" s="102">
        <v>119</v>
      </c>
      <c r="I124" s="106">
        <f t="shared" si="13"/>
        <v>48610</v>
      </c>
      <c r="J124" s="107">
        <f>IF($F$8*12&lt;H124,$T$7-K124,0)</f>
        <v>5477.2141434957111</v>
      </c>
      <c r="K124" s="107">
        <f t="shared" si="14"/>
        <v>-961.40321515771609</v>
      </c>
      <c r="L124" s="107">
        <f t="shared" si="15"/>
        <v>4515.8109283379954</v>
      </c>
      <c r="M124" s="107">
        <f t="shared" si="16"/>
        <v>-293898.17869081051</v>
      </c>
    </row>
    <row r="125" spans="8:13" hidden="1" x14ac:dyDescent="0.2">
      <c r="H125" s="102">
        <v>120</v>
      </c>
      <c r="I125" s="106">
        <f t="shared" si="13"/>
        <v>48638</v>
      </c>
      <c r="J125" s="107">
        <f>IF($F$8*12&lt;H125,$T$7-K125,0)</f>
        <v>5495.4715239740308</v>
      </c>
      <c r="K125" s="107">
        <f t="shared" si="14"/>
        <v>-979.66059563603505</v>
      </c>
      <c r="L125" s="107">
        <f t="shared" si="15"/>
        <v>4515.8109283379954</v>
      </c>
      <c r="M125" s="107">
        <f t="shared" si="16"/>
        <v>-299393.65021478455</v>
      </c>
    </row>
    <row r="136" spans="16:22" x14ac:dyDescent="0.2">
      <c r="P136" s="106"/>
      <c r="Q136" s="106"/>
      <c r="R136" s="106"/>
      <c r="S136" s="107"/>
      <c r="T136" s="107"/>
      <c r="U136" s="107"/>
      <c r="V136" s="107"/>
    </row>
    <row r="137" spans="16:22" x14ac:dyDescent="0.2">
      <c r="P137" s="106"/>
      <c r="Q137" s="106"/>
      <c r="R137" s="106"/>
      <c r="S137" s="107"/>
      <c r="T137" s="107"/>
      <c r="U137" s="107"/>
      <c r="V137" s="107"/>
    </row>
    <row r="138" spans="16:22" x14ac:dyDescent="0.2">
      <c r="P138" s="106"/>
      <c r="Q138" s="106"/>
      <c r="R138" s="106"/>
      <c r="S138" s="107"/>
      <c r="T138" s="107"/>
      <c r="U138" s="107"/>
      <c r="V138" s="107"/>
    </row>
    <row r="139" spans="16:22" x14ac:dyDescent="0.2">
      <c r="P139" s="106"/>
      <c r="Q139" s="106"/>
      <c r="R139" s="106"/>
      <c r="S139" s="107"/>
      <c r="T139" s="107"/>
      <c r="U139" s="107"/>
      <c r="V139" s="107"/>
    </row>
    <row r="140" spans="16:22" x14ac:dyDescent="0.2">
      <c r="P140" s="106"/>
      <c r="Q140" s="106"/>
      <c r="R140" s="106"/>
      <c r="S140" s="107"/>
      <c r="T140" s="107"/>
      <c r="U140" s="107"/>
      <c r="V140" s="107"/>
    </row>
  </sheetData>
  <autoFilter ref="I4:M125" xr:uid="{00000000-0009-0000-0000-000003000000}">
    <filterColumn colId="4">
      <customFilters>
        <customFilter operator="greaterThan" val="0"/>
      </customFilters>
    </filterColumn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2023</vt:lpstr>
      <vt:lpstr>2024</vt:lpstr>
      <vt:lpstr>2025</vt:lpstr>
      <vt:lpstr>Beregner</vt:lpstr>
      <vt:lpstr>'2023'!RealMaaned</vt:lpstr>
      <vt:lpstr>'2024'!RealMaaned</vt:lpstr>
      <vt:lpstr>'2025'!RealMaaned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</dc:creator>
  <cp:lastModifiedBy>Microsoft Office User</cp:lastModifiedBy>
  <dcterms:created xsi:type="dcterms:W3CDTF">2018-06-19T16:42:31Z</dcterms:created>
  <dcterms:modified xsi:type="dcterms:W3CDTF">2023-02-09T10:24:05Z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VisAlle_1" visible="true" label="VisAlle" imageMso="GridSettings" onAction="VisAlle"/>
        <mso:button idQ="doc:VisBudget_1" visible="true" label="VisBudget" imageMso="FrameCreateLeft" onAction="VisBudget"/>
        <mso:button idQ="doc:VisRealiseret_1" visible="true" label="VisRealiseret" imageMso="Calculator" onAction="VisRealiseret"/>
        <mso:button idQ="doc:VisPrognose_1" visible="true" label="VisPrognose" imageMso="DollarSign" onAction="VisPrognose"/>
      </mso:documentControls>
    </mso:qat>
  </mso:ribbon>
</mso:customUI>
</file>