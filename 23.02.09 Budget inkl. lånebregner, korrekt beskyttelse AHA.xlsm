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Denne_projektmappe"/>
  <mc:AlternateContent xmlns:mc="http://schemas.openxmlformats.org/markup-compatibility/2006">
    <mc:Choice Requires="x15">
      <x15ac:absPath xmlns:x15ac="http://schemas.microsoft.com/office/spreadsheetml/2010/11/ac" url="/Users/andersha/Documents/3 PROJEKTER/ANDELSGÅRDE/"/>
    </mc:Choice>
  </mc:AlternateContent>
  <xr:revisionPtr revIDLastSave="0" documentId="8_{AF4228BC-2B79-B54D-BFB4-325409470647}" xr6:coauthVersionLast="47" xr6:coauthVersionMax="47" xr10:uidLastSave="{00000000-0000-0000-0000-000000000000}"/>
  <bookViews>
    <workbookView xWindow="0" yWindow="0" windowWidth="28800" windowHeight="18000" activeTab="1" xr2:uid="{00000000-000D-0000-FFFF-FFFF00000000}"/>
  </bookViews>
  <sheets>
    <sheet name="2023" sheetId="1" r:id="rId1"/>
    <sheet name="2024" sheetId="3" r:id="rId2"/>
    <sheet name="2025" sheetId="2" r:id="rId3"/>
    <sheet name="Beregner" sheetId="4" r:id="rId4"/>
  </sheets>
  <definedNames>
    <definedName name="_xlnm._FilterDatabase" localSheetId="3" hidden="1">Beregner!$I$4:$M$125</definedName>
    <definedName name="RealMaaned" localSheetId="0">'2023'!$I$1</definedName>
    <definedName name="RealMaaned" localSheetId="1">'2024'!$I$1</definedName>
    <definedName name="RealMaaned" localSheetId="2">'2025'!$I$1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4" l="1"/>
  <c r="C8" i="4"/>
  <c r="Q4" i="4" s="1"/>
  <c r="F6" i="4"/>
  <c r="I5" i="4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M5" i="4"/>
  <c r="K6" i="4" s="1"/>
  <c r="L5" i="4"/>
  <c r="Q5" i="4" l="1"/>
  <c r="AL51" i="3"/>
  <c r="AI51" i="3"/>
  <c r="AF51" i="3"/>
  <c r="AC51" i="3"/>
  <c r="Z51" i="3"/>
  <c r="W51" i="3"/>
  <c r="T51" i="3"/>
  <c r="Q51" i="3"/>
  <c r="N51" i="3"/>
  <c r="K51" i="3"/>
  <c r="H51" i="3"/>
  <c r="H53" i="3" s="1"/>
  <c r="E51" i="3"/>
  <c r="E53" i="3" s="1"/>
  <c r="D51" i="3"/>
  <c r="D52" i="3" s="1"/>
  <c r="D48" i="3"/>
  <c r="K47" i="3" s="1"/>
  <c r="AM43" i="3"/>
  <c r="AJ43" i="3"/>
  <c r="AG43" i="3"/>
  <c r="AD43" i="3"/>
  <c r="AA43" i="3"/>
  <c r="X43" i="3"/>
  <c r="U43" i="3"/>
  <c r="R43" i="3"/>
  <c r="O43" i="3"/>
  <c r="L43" i="3"/>
  <c r="I43" i="3"/>
  <c r="F43" i="3"/>
  <c r="D43" i="3"/>
  <c r="AN42" i="3"/>
  <c r="AK42" i="3"/>
  <c r="AH42" i="3"/>
  <c r="AE42" i="3"/>
  <c r="AB42" i="3"/>
  <c r="Y42" i="3"/>
  <c r="V42" i="3"/>
  <c r="S42" i="3"/>
  <c r="P42" i="3"/>
  <c r="M42" i="3"/>
  <c r="J42" i="3"/>
  <c r="G42" i="3"/>
  <c r="AH41" i="3"/>
  <c r="AE41" i="3"/>
  <c r="AB41" i="3"/>
  <c r="Y41" i="3"/>
  <c r="V41" i="3"/>
  <c r="S41" i="3"/>
  <c r="P41" i="3"/>
  <c r="G41" i="3"/>
  <c r="AL40" i="3"/>
  <c r="AN40" i="3" s="1"/>
  <c r="AI40" i="3"/>
  <c r="AK40" i="3" s="1"/>
  <c r="AH40" i="3"/>
  <c r="AE40" i="3"/>
  <c r="AB40" i="3"/>
  <c r="Y40" i="3"/>
  <c r="V40" i="3"/>
  <c r="S40" i="3"/>
  <c r="P40" i="3"/>
  <c r="K40" i="3"/>
  <c r="M40" i="3" s="1"/>
  <c r="H40" i="3"/>
  <c r="J40" i="3" s="1"/>
  <c r="G40" i="3"/>
  <c r="AN39" i="3"/>
  <c r="AK39" i="3"/>
  <c r="AH39" i="3"/>
  <c r="AE39" i="3"/>
  <c r="AB39" i="3"/>
  <c r="Y39" i="3"/>
  <c r="V39" i="3"/>
  <c r="S39" i="3"/>
  <c r="P39" i="3"/>
  <c r="M39" i="3"/>
  <c r="J39" i="3"/>
  <c r="G39" i="3"/>
  <c r="AN38" i="3"/>
  <c r="AK38" i="3"/>
  <c r="AH38" i="3"/>
  <c r="AE38" i="3"/>
  <c r="AB38" i="3"/>
  <c r="Y38" i="3"/>
  <c r="V38" i="3"/>
  <c r="S38" i="3"/>
  <c r="P38" i="3"/>
  <c r="M38" i="3"/>
  <c r="J38" i="3"/>
  <c r="G38" i="3"/>
  <c r="AM36" i="3"/>
  <c r="AM44" i="3" s="1"/>
  <c r="AJ36" i="3"/>
  <c r="AG36" i="3"/>
  <c r="AG44" i="3" s="1"/>
  <c r="AD36" i="3"/>
  <c r="AA36" i="3"/>
  <c r="AA44" i="3" s="1"/>
  <c r="X36" i="3"/>
  <c r="X44" i="3" s="1"/>
  <c r="U36" i="3"/>
  <c r="R36" i="3"/>
  <c r="O36" i="3"/>
  <c r="O44" i="3" s="1"/>
  <c r="L36" i="3"/>
  <c r="I36" i="3"/>
  <c r="I44" i="3" s="1"/>
  <c r="F36" i="3"/>
  <c r="D36" i="3"/>
  <c r="AN34" i="3"/>
  <c r="AL34" i="3"/>
  <c r="AI34" i="3"/>
  <c r="AK34" i="3" s="1"/>
  <c r="AF34" i="3"/>
  <c r="AH34" i="3" s="1"/>
  <c r="AC34" i="3"/>
  <c r="AE34" i="3" s="1"/>
  <c r="AB34" i="3"/>
  <c r="Z34" i="3"/>
  <c r="W34" i="3"/>
  <c r="Y34" i="3" s="1"/>
  <c r="T34" i="3"/>
  <c r="Q34" i="3"/>
  <c r="N34" i="3"/>
  <c r="P34" i="3" s="1"/>
  <c r="K34" i="3"/>
  <c r="M34" i="3" s="1"/>
  <c r="H34" i="3"/>
  <c r="J34" i="3" s="1"/>
  <c r="G34" i="3"/>
  <c r="AN33" i="3"/>
  <c r="AK33" i="3"/>
  <c r="AH33" i="3"/>
  <c r="AE33" i="3"/>
  <c r="AB33" i="3"/>
  <c r="Y33" i="3"/>
  <c r="V33" i="3"/>
  <c r="S33" i="3"/>
  <c r="P33" i="3"/>
  <c r="M33" i="3"/>
  <c r="J33" i="3"/>
  <c r="G33" i="3"/>
  <c r="AM30" i="3"/>
  <c r="AJ30" i="3"/>
  <c r="AG30" i="3"/>
  <c r="AD30" i="3"/>
  <c r="AA30" i="3"/>
  <c r="X30" i="3"/>
  <c r="U30" i="3"/>
  <c r="R30" i="3"/>
  <c r="O30" i="3"/>
  <c r="L30" i="3"/>
  <c r="I30" i="3"/>
  <c r="F30" i="3"/>
  <c r="AM29" i="3"/>
  <c r="AJ29" i="3"/>
  <c r="AG29" i="3"/>
  <c r="AD29" i="3"/>
  <c r="AA29" i="3"/>
  <c r="X29" i="3"/>
  <c r="U29" i="3"/>
  <c r="R29" i="3"/>
  <c r="O29" i="3"/>
  <c r="L29" i="3"/>
  <c r="I29" i="3"/>
  <c r="F29" i="3"/>
  <c r="I28" i="3"/>
  <c r="H28" i="3"/>
  <c r="E28" i="3"/>
  <c r="D28" i="3"/>
  <c r="AR27" i="3"/>
  <c r="AO27" i="3"/>
  <c r="AQ27" i="3" s="1"/>
  <c r="AV26" i="3"/>
  <c r="AQ26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U24" i="3"/>
  <c r="AV24" i="3" s="1"/>
  <c r="AR24" i="3"/>
  <c r="AP24" i="3"/>
  <c r="AO24" i="3"/>
  <c r="AN24" i="3"/>
  <c r="AK24" i="3"/>
  <c r="AH24" i="3"/>
  <c r="AE24" i="3"/>
  <c r="AB24" i="3"/>
  <c r="Y24" i="3"/>
  <c r="J24" i="3"/>
  <c r="AR23" i="3"/>
  <c r="AM23" i="3"/>
  <c r="AL23" i="3"/>
  <c r="AJ23" i="3"/>
  <c r="AI23" i="3"/>
  <c r="AG23" i="3"/>
  <c r="AF23" i="3"/>
  <c r="AD23" i="3"/>
  <c r="AE23" i="3" s="1"/>
  <c r="AC23" i="3"/>
  <c r="AA23" i="3"/>
  <c r="Z23" i="3"/>
  <c r="X23" i="3"/>
  <c r="W23" i="3"/>
  <c r="V23" i="3"/>
  <c r="U23" i="3"/>
  <c r="T23" i="3"/>
  <c r="R23" i="3"/>
  <c r="Q23" i="3"/>
  <c r="O23" i="3"/>
  <c r="N23" i="3"/>
  <c r="L23" i="3"/>
  <c r="K23" i="3"/>
  <c r="I23" i="3"/>
  <c r="H23" i="3"/>
  <c r="F23" i="3"/>
  <c r="BU23" i="3" s="1"/>
  <c r="E23" i="3"/>
  <c r="BI23" i="3" s="1"/>
  <c r="AR22" i="3"/>
  <c r="AM22" i="3"/>
  <c r="AJ22" i="3"/>
  <c r="AG22" i="3"/>
  <c r="AH22" i="3" s="1"/>
  <c r="AF22" i="3"/>
  <c r="AD22" i="3"/>
  <c r="AC22" i="3"/>
  <c r="AA22" i="3"/>
  <c r="AB22" i="3" s="1"/>
  <c r="Z22" i="3"/>
  <c r="X22" i="3"/>
  <c r="Y22" i="3" s="1"/>
  <c r="W22" i="3"/>
  <c r="U22" i="3"/>
  <c r="T22" i="3"/>
  <c r="R22" i="3"/>
  <c r="Q22" i="3"/>
  <c r="O22" i="3"/>
  <c r="L22" i="3"/>
  <c r="I22" i="3"/>
  <c r="F22" i="3"/>
  <c r="E22" i="3"/>
  <c r="BI22" i="3" s="1"/>
  <c r="AR21" i="3"/>
  <c r="AM21" i="3"/>
  <c r="AL21" i="3"/>
  <c r="AJ21" i="3"/>
  <c r="AI21" i="3"/>
  <c r="AG21" i="3"/>
  <c r="AH21" i="3" s="1"/>
  <c r="AF21" i="3"/>
  <c r="AD21" i="3"/>
  <c r="AC21" i="3"/>
  <c r="AA21" i="3"/>
  <c r="Z21" i="3"/>
  <c r="X21" i="3"/>
  <c r="W21" i="3"/>
  <c r="U21" i="3"/>
  <c r="T21" i="3"/>
  <c r="R21" i="3"/>
  <c r="Q21" i="3"/>
  <c r="O21" i="3"/>
  <c r="N21" i="3"/>
  <c r="L21" i="3"/>
  <c r="K21" i="3"/>
  <c r="I21" i="3"/>
  <c r="H21" i="3"/>
  <c r="F21" i="3"/>
  <c r="BU21" i="3" s="1"/>
  <c r="BV21" i="3" s="1"/>
  <c r="BW21" i="3" s="1"/>
  <c r="BX21" i="3" s="1"/>
  <c r="BY21" i="3" s="1"/>
  <c r="BZ21" i="3" s="1"/>
  <c r="CA21" i="3" s="1"/>
  <c r="CB21" i="3" s="1"/>
  <c r="CC21" i="3" s="1"/>
  <c r="E21" i="3"/>
  <c r="BI21" i="3" s="1"/>
  <c r="AR20" i="3"/>
  <c r="AM20" i="3"/>
  <c r="AL20" i="3"/>
  <c r="AK20" i="3"/>
  <c r="AJ20" i="3"/>
  <c r="AI20" i="3"/>
  <c r="AG20" i="3"/>
  <c r="AH20" i="3" s="1"/>
  <c r="AF20" i="3"/>
  <c r="AD20" i="3"/>
  <c r="AC20" i="3"/>
  <c r="AA20" i="3"/>
  <c r="Z20" i="3"/>
  <c r="X20" i="3"/>
  <c r="W20" i="3"/>
  <c r="U20" i="3"/>
  <c r="V20" i="3" s="1"/>
  <c r="T20" i="3"/>
  <c r="R20" i="3"/>
  <c r="Q20" i="3"/>
  <c r="O20" i="3"/>
  <c r="N20" i="3"/>
  <c r="L20" i="3"/>
  <c r="K20" i="3"/>
  <c r="I20" i="3"/>
  <c r="H20" i="3"/>
  <c r="F20" i="3"/>
  <c r="BU20" i="3" s="1"/>
  <c r="BV20" i="3" s="1"/>
  <c r="E20" i="3"/>
  <c r="BI20" i="3" s="1"/>
  <c r="BU19" i="3"/>
  <c r="AR19" i="3"/>
  <c r="AM19" i="3"/>
  <c r="AN19" i="3" s="1"/>
  <c r="AL19" i="3"/>
  <c r="AJ19" i="3"/>
  <c r="AI19" i="3"/>
  <c r="AG19" i="3"/>
  <c r="AF19" i="3"/>
  <c r="AD19" i="3"/>
  <c r="AC19" i="3"/>
  <c r="AE19" i="3" s="1"/>
  <c r="AA19" i="3"/>
  <c r="Z19" i="3"/>
  <c r="X19" i="3"/>
  <c r="Y19" i="3" s="1"/>
  <c r="W19" i="3"/>
  <c r="U19" i="3"/>
  <c r="T19" i="3"/>
  <c r="R19" i="3"/>
  <c r="Q19" i="3"/>
  <c r="O19" i="3"/>
  <c r="N19" i="3"/>
  <c r="L19" i="3"/>
  <c r="K19" i="3"/>
  <c r="I19" i="3"/>
  <c r="BV19" i="3" s="1"/>
  <c r="H19" i="3"/>
  <c r="F19" i="3"/>
  <c r="E19" i="3"/>
  <c r="BI19" i="3" s="1"/>
  <c r="BJ19" i="3" s="1"/>
  <c r="AO19" i="3" s="1"/>
  <c r="AR18" i="3"/>
  <c r="AM18" i="3"/>
  <c r="AL18" i="3"/>
  <c r="AJ18" i="3"/>
  <c r="AG18" i="3"/>
  <c r="AD18" i="3"/>
  <c r="AA18" i="3"/>
  <c r="Z18" i="3"/>
  <c r="X18" i="3"/>
  <c r="W18" i="3"/>
  <c r="U18" i="3"/>
  <c r="S18" i="3"/>
  <c r="R18" i="3"/>
  <c r="Q18" i="3"/>
  <c r="O18" i="3"/>
  <c r="P18" i="3" s="1"/>
  <c r="N18" i="3"/>
  <c r="L18" i="3"/>
  <c r="K18" i="3"/>
  <c r="I18" i="3"/>
  <c r="H18" i="3"/>
  <c r="F18" i="3"/>
  <c r="E18" i="3"/>
  <c r="BI18" i="3" s="1"/>
  <c r="AR17" i="3"/>
  <c r="AN17" i="3"/>
  <c r="AM17" i="3"/>
  <c r="AL17" i="3"/>
  <c r="AL45" i="3" s="1"/>
  <c r="AL46" i="3" s="1"/>
  <c r="AJ17" i="3"/>
  <c r="AI17" i="3"/>
  <c r="AG17" i="3"/>
  <c r="AF17" i="3"/>
  <c r="AD17" i="3"/>
  <c r="AE17" i="3" s="1"/>
  <c r="AC17" i="3"/>
  <c r="AC45" i="3" s="1"/>
  <c r="AC46" i="3" s="1"/>
  <c r="AA17" i="3"/>
  <c r="Z17" i="3"/>
  <c r="Z45" i="3" s="1"/>
  <c r="Z46" i="3" s="1"/>
  <c r="X17" i="3"/>
  <c r="W17" i="3"/>
  <c r="W45" i="3" s="1"/>
  <c r="W46" i="3" s="1"/>
  <c r="U17" i="3"/>
  <c r="T17" i="3"/>
  <c r="T45" i="3" s="1"/>
  <c r="T46" i="3" s="1"/>
  <c r="R17" i="3"/>
  <c r="Q17" i="3"/>
  <c r="Q45" i="3" s="1"/>
  <c r="Q46" i="3" s="1"/>
  <c r="O17" i="3"/>
  <c r="P17" i="3" s="1"/>
  <c r="N17" i="3"/>
  <c r="N45" i="3" s="1"/>
  <c r="N46" i="3" s="1"/>
  <c r="L17" i="3"/>
  <c r="K17" i="3"/>
  <c r="K45" i="3" s="1"/>
  <c r="K46" i="3" s="1"/>
  <c r="I17" i="3"/>
  <c r="J17" i="3" s="1"/>
  <c r="H17" i="3"/>
  <c r="H45" i="3" s="1"/>
  <c r="H46" i="3" s="1"/>
  <c r="F17" i="3"/>
  <c r="BU17" i="3" s="1"/>
  <c r="BV17" i="3" s="1"/>
  <c r="BW17" i="3" s="1"/>
  <c r="BX17" i="3" s="1"/>
  <c r="BY17" i="3" s="1"/>
  <c r="BZ17" i="3" s="1"/>
  <c r="CA17" i="3" s="1"/>
  <c r="CB17" i="3" s="1"/>
  <c r="CC17" i="3" s="1"/>
  <c r="CD17" i="3" s="1"/>
  <c r="CE17" i="3" s="1"/>
  <c r="CF17" i="3" s="1"/>
  <c r="E17" i="3"/>
  <c r="E45" i="3" s="1"/>
  <c r="E46" i="3" s="1"/>
  <c r="AO16" i="3"/>
  <c r="AN16" i="3"/>
  <c r="AK16" i="3"/>
  <c r="AH16" i="3"/>
  <c r="AE16" i="3"/>
  <c r="AB16" i="3"/>
  <c r="Y16" i="3"/>
  <c r="V16" i="3"/>
  <c r="S16" i="3"/>
  <c r="P16" i="3"/>
  <c r="M16" i="3"/>
  <c r="J16" i="3"/>
  <c r="G16" i="3"/>
  <c r="AR15" i="3"/>
  <c r="U15" i="3"/>
  <c r="BU14" i="3"/>
  <c r="BV14" i="3" s="1"/>
  <c r="BW14" i="3" s="1"/>
  <c r="BX14" i="3" s="1"/>
  <c r="BY14" i="3" s="1"/>
  <c r="BZ14" i="3" s="1"/>
  <c r="CA14" i="3" s="1"/>
  <c r="CB14" i="3" s="1"/>
  <c r="CC14" i="3" s="1"/>
  <c r="CD14" i="3" s="1"/>
  <c r="CE14" i="3" s="1"/>
  <c r="CF14" i="3" s="1"/>
  <c r="BI14" i="3"/>
  <c r="BJ14" i="3" s="1"/>
  <c r="BH14" i="3"/>
  <c r="BG14" i="3"/>
  <c r="BF14" i="3"/>
  <c r="BE14" i="3"/>
  <c r="BD14" i="3"/>
  <c r="BC14" i="3"/>
  <c r="BB14" i="3"/>
  <c r="BA14" i="3"/>
  <c r="AZ14" i="3"/>
  <c r="AY14" i="3"/>
  <c r="AX14" i="3"/>
  <c r="AW14" i="3"/>
  <c r="AU14" i="3"/>
  <c r="AV14" i="3" s="1"/>
  <c r="AR14" i="3"/>
  <c r="AN14" i="3"/>
  <c r="AK14" i="3"/>
  <c r="AH14" i="3"/>
  <c r="AE14" i="3"/>
  <c r="AB14" i="3"/>
  <c r="Y14" i="3"/>
  <c r="V14" i="3"/>
  <c r="S14" i="3"/>
  <c r="P14" i="3"/>
  <c r="M14" i="3"/>
  <c r="J14" i="3"/>
  <c r="G14" i="3"/>
  <c r="BU13" i="3"/>
  <c r="BV13" i="3" s="1"/>
  <c r="BW13" i="3" s="1"/>
  <c r="BX13" i="3" s="1"/>
  <c r="BY13" i="3" s="1"/>
  <c r="BZ13" i="3" s="1"/>
  <c r="CA13" i="3" s="1"/>
  <c r="CB13" i="3" s="1"/>
  <c r="CC13" i="3" s="1"/>
  <c r="CD13" i="3" s="1"/>
  <c r="CE13" i="3" s="1"/>
  <c r="CF13" i="3" s="1"/>
  <c r="BI13" i="3"/>
  <c r="BJ13" i="3" s="1"/>
  <c r="BH13" i="3"/>
  <c r="BG13" i="3"/>
  <c r="BF13" i="3"/>
  <c r="BE13" i="3"/>
  <c r="BD13" i="3"/>
  <c r="BC13" i="3"/>
  <c r="BB13" i="3"/>
  <c r="BA13" i="3"/>
  <c r="AZ13" i="3"/>
  <c r="AY13" i="3"/>
  <c r="AX13" i="3"/>
  <c r="AU13" i="3" s="1"/>
  <c r="AV13" i="3" s="1"/>
  <c r="AW13" i="3"/>
  <c r="AR13" i="3"/>
  <c r="AN13" i="3"/>
  <c r="AK13" i="3"/>
  <c r="AH13" i="3"/>
  <c r="AE13" i="3"/>
  <c r="AB13" i="3"/>
  <c r="Y13" i="3"/>
  <c r="V13" i="3"/>
  <c r="S13" i="3"/>
  <c r="P13" i="3"/>
  <c r="M13" i="3"/>
  <c r="J13" i="3"/>
  <c r="G13" i="3"/>
  <c r="BV12" i="3"/>
  <c r="BW12" i="3" s="1"/>
  <c r="BX12" i="3" s="1"/>
  <c r="BY12" i="3" s="1"/>
  <c r="BZ12" i="3" s="1"/>
  <c r="CA12" i="3" s="1"/>
  <c r="CB12" i="3" s="1"/>
  <c r="CC12" i="3" s="1"/>
  <c r="CD12" i="3" s="1"/>
  <c r="CE12" i="3" s="1"/>
  <c r="CF12" i="3" s="1"/>
  <c r="BU12" i="3"/>
  <c r="BI12" i="3"/>
  <c r="BJ12" i="3" s="1"/>
  <c r="BK12" i="3" s="1"/>
  <c r="BL12" i="3" s="1"/>
  <c r="BM12" i="3" s="1"/>
  <c r="BN12" i="3" s="1"/>
  <c r="BO12" i="3" s="1"/>
  <c r="BP12" i="3" s="1"/>
  <c r="BQ12" i="3" s="1"/>
  <c r="BR12" i="3" s="1"/>
  <c r="BS12" i="3" s="1"/>
  <c r="BT12" i="3" s="1"/>
  <c r="BH12" i="3"/>
  <c r="BG12" i="3"/>
  <c r="BF12" i="3"/>
  <c r="BE12" i="3"/>
  <c r="BD12" i="3"/>
  <c r="BC12" i="3"/>
  <c r="BB12" i="3"/>
  <c r="BA12" i="3"/>
  <c r="AZ12" i="3"/>
  <c r="AY12" i="3"/>
  <c r="AX12" i="3"/>
  <c r="AU12" i="3" s="1"/>
  <c r="AW12" i="3"/>
  <c r="AV12" i="3"/>
  <c r="AR12" i="3"/>
  <c r="AO12" i="3"/>
  <c r="AN12" i="3"/>
  <c r="AK12" i="3"/>
  <c r="AH12" i="3"/>
  <c r="AE12" i="3"/>
  <c r="AB12" i="3"/>
  <c r="Y12" i="3"/>
  <c r="V12" i="3"/>
  <c r="S12" i="3"/>
  <c r="P12" i="3"/>
  <c r="M12" i="3"/>
  <c r="J12" i="3"/>
  <c r="G12" i="3"/>
  <c r="BU11" i="3"/>
  <c r="BV11" i="3" s="1"/>
  <c r="BI11" i="3"/>
  <c r="BJ11" i="3" s="1"/>
  <c r="BH11" i="3"/>
  <c r="BG11" i="3"/>
  <c r="BF11" i="3"/>
  <c r="BE11" i="3"/>
  <c r="BD11" i="3"/>
  <c r="BC11" i="3"/>
  <c r="BB11" i="3"/>
  <c r="BA11" i="3"/>
  <c r="AZ11" i="3"/>
  <c r="AY11" i="3"/>
  <c r="AX11" i="3"/>
  <c r="AU11" i="3" s="1"/>
  <c r="AV11" i="3" s="1"/>
  <c r="AW11" i="3"/>
  <c r="AR11" i="3"/>
  <c r="AN11" i="3"/>
  <c r="AK11" i="3"/>
  <c r="AH11" i="3"/>
  <c r="AE11" i="3"/>
  <c r="AB11" i="3"/>
  <c r="Y11" i="3"/>
  <c r="V11" i="3"/>
  <c r="S11" i="3"/>
  <c r="P11" i="3"/>
  <c r="M11" i="3"/>
  <c r="J11" i="3"/>
  <c r="G11" i="3"/>
  <c r="BU10" i="3"/>
  <c r="BV10" i="3" s="1"/>
  <c r="BW10" i="3" s="1"/>
  <c r="BX10" i="3" s="1"/>
  <c r="BY10" i="3" s="1"/>
  <c r="BZ10" i="3" s="1"/>
  <c r="CA10" i="3" s="1"/>
  <c r="CB10" i="3" s="1"/>
  <c r="CC10" i="3" s="1"/>
  <c r="CD10" i="3" s="1"/>
  <c r="CE10" i="3" s="1"/>
  <c r="CF10" i="3" s="1"/>
  <c r="BI10" i="3"/>
  <c r="BJ10" i="3" s="1"/>
  <c r="BH10" i="3"/>
  <c r="BG10" i="3"/>
  <c r="BF10" i="3"/>
  <c r="BE10" i="3"/>
  <c r="BD10" i="3"/>
  <c r="BC10" i="3"/>
  <c r="BB10" i="3"/>
  <c r="BA10" i="3"/>
  <c r="AZ10" i="3"/>
  <c r="AY10" i="3"/>
  <c r="AX10" i="3"/>
  <c r="AU10" i="3" s="1"/>
  <c r="AV10" i="3" s="1"/>
  <c r="AW10" i="3"/>
  <c r="AR10" i="3"/>
  <c r="AP10" i="3"/>
  <c r="AN10" i="3"/>
  <c r="AK10" i="3"/>
  <c r="AH10" i="3"/>
  <c r="AE10" i="3"/>
  <c r="AB10" i="3"/>
  <c r="Y10" i="3"/>
  <c r="V10" i="3"/>
  <c r="S10" i="3"/>
  <c r="P10" i="3"/>
  <c r="M10" i="3"/>
  <c r="J10" i="3"/>
  <c r="G10" i="3"/>
  <c r="BU9" i="3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BI9" i="3"/>
  <c r="BJ9" i="3" s="1"/>
  <c r="BH9" i="3"/>
  <c r="BG9" i="3"/>
  <c r="BF9" i="3"/>
  <c r="BE9" i="3"/>
  <c r="BD9" i="3"/>
  <c r="BC9" i="3"/>
  <c r="BB9" i="3"/>
  <c r="BA9" i="3"/>
  <c r="AZ9" i="3"/>
  <c r="AY9" i="3"/>
  <c r="AX9" i="3"/>
  <c r="AU9" i="3" s="1"/>
  <c r="AV9" i="3" s="1"/>
  <c r="AW9" i="3"/>
  <c r="AR9" i="3"/>
  <c r="AN9" i="3"/>
  <c r="AK9" i="3"/>
  <c r="AH9" i="3"/>
  <c r="AE9" i="3"/>
  <c r="AB9" i="3"/>
  <c r="Y9" i="3"/>
  <c r="V9" i="3"/>
  <c r="S9" i="3"/>
  <c r="P9" i="3"/>
  <c r="M9" i="3"/>
  <c r="J9" i="3"/>
  <c r="G9" i="3"/>
  <c r="BV8" i="3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BU8" i="3"/>
  <c r="BI8" i="3"/>
  <c r="BJ8" i="3" s="1"/>
  <c r="BH8" i="3"/>
  <c r="BG8" i="3"/>
  <c r="BF8" i="3"/>
  <c r="BE8" i="3"/>
  <c r="BD8" i="3"/>
  <c r="BC8" i="3"/>
  <c r="BB8" i="3"/>
  <c r="BA8" i="3"/>
  <c r="AZ8" i="3"/>
  <c r="AY8" i="3"/>
  <c r="AX8" i="3"/>
  <c r="AU8" i="3" s="1"/>
  <c r="AW8" i="3"/>
  <c r="AV8" i="3"/>
  <c r="AR8" i="3"/>
  <c r="AN8" i="3"/>
  <c r="AK8" i="3"/>
  <c r="AH8" i="3"/>
  <c r="AE8" i="3"/>
  <c r="AB8" i="3"/>
  <c r="Y8" i="3"/>
  <c r="V8" i="3"/>
  <c r="S8" i="3"/>
  <c r="P8" i="3"/>
  <c r="M8" i="3"/>
  <c r="J8" i="3"/>
  <c r="G8" i="3"/>
  <c r="AT7" i="3"/>
  <c r="AT15" i="3" s="1"/>
  <c r="AR7" i="3"/>
  <c r="AM7" i="3"/>
  <c r="AM15" i="3" s="1"/>
  <c r="AM25" i="3" s="1"/>
  <c r="AL7" i="3"/>
  <c r="AL15" i="3" s="1"/>
  <c r="AJ7" i="3"/>
  <c r="AJ15" i="3" s="1"/>
  <c r="AJ25" i="3" s="1"/>
  <c r="AI7" i="3"/>
  <c r="AI15" i="3" s="1"/>
  <c r="AG7" i="3"/>
  <c r="AG15" i="3" s="1"/>
  <c r="AF7" i="3"/>
  <c r="AF15" i="3" s="1"/>
  <c r="AD7" i="3"/>
  <c r="AD15" i="3" s="1"/>
  <c r="AC7" i="3"/>
  <c r="AC15" i="3" s="1"/>
  <c r="AA7" i="3"/>
  <c r="Z7" i="3"/>
  <c r="Z15" i="3" s="1"/>
  <c r="X7" i="3"/>
  <c r="X15" i="3" s="1"/>
  <c r="X25" i="3" s="1"/>
  <c r="W7" i="3"/>
  <c r="W15" i="3" s="1"/>
  <c r="W25" i="3" s="1"/>
  <c r="U7" i="3"/>
  <c r="T7" i="3"/>
  <c r="V7" i="3" s="1"/>
  <c r="R7" i="3"/>
  <c r="R15" i="3" s="1"/>
  <c r="Q7" i="3"/>
  <c r="Q15" i="3" s="1"/>
  <c r="O7" i="3"/>
  <c r="N7" i="3"/>
  <c r="N15" i="3" s="1"/>
  <c r="M7" i="3"/>
  <c r="L7" i="3"/>
  <c r="L15" i="3" s="1"/>
  <c r="L25" i="3" s="1"/>
  <c r="K7" i="3"/>
  <c r="K15" i="3" s="1"/>
  <c r="I7" i="3"/>
  <c r="I15" i="3" s="1"/>
  <c r="H7" i="3"/>
  <c r="H15" i="3" s="1"/>
  <c r="F7" i="3"/>
  <c r="E7" i="3"/>
  <c r="BI7" i="3" s="1"/>
  <c r="BJ7" i="3" s="1"/>
  <c r="BV6" i="3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BU6" i="3"/>
  <c r="BI6" i="3"/>
  <c r="BJ6" i="3" s="1"/>
  <c r="BH6" i="3"/>
  <c r="BG6" i="3"/>
  <c r="BF6" i="3"/>
  <c r="BE6" i="3"/>
  <c r="BD6" i="3"/>
  <c r="BC6" i="3"/>
  <c r="BB6" i="3"/>
  <c r="BA6" i="3"/>
  <c r="AZ6" i="3"/>
  <c r="AY6" i="3"/>
  <c r="AX6" i="3"/>
  <c r="AU6" i="3" s="1"/>
  <c r="AV6" i="3" s="1"/>
  <c r="AW6" i="3"/>
  <c r="AR6" i="3"/>
  <c r="AN6" i="3"/>
  <c r="AK6" i="3"/>
  <c r="AH6" i="3"/>
  <c r="AE6" i="3"/>
  <c r="AB6" i="3"/>
  <c r="Y6" i="3"/>
  <c r="V6" i="3"/>
  <c r="S6" i="3"/>
  <c r="P6" i="3"/>
  <c r="M6" i="3"/>
  <c r="J6" i="3"/>
  <c r="G6" i="3"/>
  <c r="BU5" i="3"/>
  <c r="BV5" i="3" s="1"/>
  <c r="AP5" i="3" s="1"/>
  <c r="BI5" i="3"/>
  <c r="BJ5" i="3" s="1"/>
  <c r="BH5" i="3"/>
  <c r="BG5" i="3"/>
  <c r="BG7" i="3" s="1"/>
  <c r="BF5" i="3"/>
  <c r="BE5" i="3"/>
  <c r="BD5" i="3"/>
  <c r="BC5" i="3"/>
  <c r="BB5" i="3"/>
  <c r="BA5" i="3"/>
  <c r="AZ5" i="3"/>
  <c r="AY5" i="3"/>
  <c r="AX5" i="3"/>
  <c r="AU5" i="3" s="1"/>
  <c r="AV5" i="3" s="1"/>
  <c r="AW5" i="3"/>
  <c r="AR5" i="3"/>
  <c r="AN5" i="3"/>
  <c r="AK5" i="3"/>
  <c r="AH5" i="3"/>
  <c r="AE5" i="3"/>
  <c r="AB5" i="3"/>
  <c r="Y5" i="3"/>
  <c r="V5" i="3"/>
  <c r="S5" i="3"/>
  <c r="P5" i="3"/>
  <c r="M5" i="3"/>
  <c r="J5" i="3"/>
  <c r="G5" i="3"/>
  <c r="BU4" i="3"/>
  <c r="BV4" i="3" s="1"/>
  <c r="BJ4" i="3"/>
  <c r="BI4" i="3"/>
  <c r="BH4" i="3"/>
  <c r="BG4" i="3"/>
  <c r="BF4" i="3"/>
  <c r="BE4" i="3"/>
  <c r="BD4" i="3"/>
  <c r="BC4" i="3"/>
  <c r="BB4" i="3"/>
  <c r="BB7" i="3" s="1"/>
  <c r="BA4" i="3"/>
  <c r="AZ4" i="3"/>
  <c r="AY4" i="3"/>
  <c r="AX4" i="3"/>
  <c r="AU4" i="3" s="1"/>
  <c r="AW4" i="3"/>
  <c r="AR4" i="3"/>
  <c r="AN4" i="3"/>
  <c r="AK4" i="3"/>
  <c r="AH4" i="3"/>
  <c r="AE4" i="3"/>
  <c r="AB4" i="3"/>
  <c r="Y4" i="3"/>
  <c r="V4" i="3"/>
  <c r="S4" i="3"/>
  <c r="P4" i="3"/>
  <c r="M4" i="3"/>
  <c r="J4" i="3"/>
  <c r="G4" i="3"/>
  <c r="AY1" i="3"/>
  <c r="AL51" i="2"/>
  <c r="AI51" i="2"/>
  <c r="AF51" i="2"/>
  <c r="AC51" i="2"/>
  <c r="Z51" i="2"/>
  <c r="W51" i="2"/>
  <c r="T51" i="2"/>
  <c r="Q51" i="2"/>
  <c r="N51" i="2"/>
  <c r="K51" i="2"/>
  <c r="H51" i="2"/>
  <c r="E51" i="2"/>
  <c r="E53" i="2" s="1"/>
  <c r="D51" i="2"/>
  <c r="D52" i="2" s="1"/>
  <c r="D48" i="2"/>
  <c r="K47" i="2" s="1"/>
  <c r="AM43" i="2"/>
  <c r="AJ43" i="2"/>
  <c r="AG43" i="2"/>
  <c r="AD43" i="2"/>
  <c r="AA43" i="2"/>
  <c r="X43" i="2"/>
  <c r="U43" i="2"/>
  <c r="R43" i="2"/>
  <c r="O43" i="2"/>
  <c r="L43" i="2"/>
  <c r="I43" i="2"/>
  <c r="F43" i="2"/>
  <c r="D43" i="2"/>
  <c r="AN42" i="2"/>
  <c r="AK42" i="2"/>
  <c r="AH42" i="2"/>
  <c r="AE42" i="2"/>
  <c r="AB42" i="2"/>
  <c r="Y42" i="2"/>
  <c r="V42" i="2"/>
  <c r="S42" i="2"/>
  <c r="P42" i="2"/>
  <c r="M42" i="2"/>
  <c r="J42" i="2"/>
  <c r="G42" i="2"/>
  <c r="AH41" i="2"/>
  <c r="AE41" i="2"/>
  <c r="AB41" i="2"/>
  <c r="Y41" i="2"/>
  <c r="V41" i="2"/>
  <c r="S41" i="2"/>
  <c r="P41" i="2"/>
  <c r="G41" i="2"/>
  <c r="AL40" i="2"/>
  <c r="AN40" i="2" s="1"/>
  <c r="AI40" i="2"/>
  <c r="AH40" i="2"/>
  <c r="AE40" i="2"/>
  <c r="AB40" i="2"/>
  <c r="Y40" i="2"/>
  <c r="V40" i="2"/>
  <c r="S40" i="2"/>
  <c r="P40" i="2"/>
  <c r="K40" i="2"/>
  <c r="M40" i="2" s="1"/>
  <c r="H40" i="2"/>
  <c r="J40" i="2" s="1"/>
  <c r="G40" i="2"/>
  <c r="AN39" i="2"/>
  <c r="AK39" i="2"/>
  <c r="AH39" i="2"/>
  <c r="AE39" i="2"/>
  <c r="AB39" i="2"/>
  <c r="Y39" i="2"/>
  <c r="V39" i="2"/>
  <c r="S39" i="2"/>
  <c r="P39" i="2"/>
  <c r="M39" i="2"/>
  <c r="J39" i="2"/>
  <c r="G39" i="2"/>
  <c r="AN38" i="2"/>
  <c r="AK38" i="2"/>
  <c r="AH38" i="2"/>
  <c r="AE38" i="2"/>
  <c r="AB38" i="2"/>
  <c r="Y38" i="2"/>
  <c r="V38" i="2"/>
  <c r="S38" i="2"/>
  <c r="P38" i="2"/>
  <c r="M38" i="2"/>
  <c r="J38" i="2"/>
  <c r="G38" i="2"/>
  <c r="AM36" i="2"/>
  <c r="AM44" i="2" s="1"/>
  <c r="AJ36" i="2"/>
  <c r="AG36" i="2"/>
  <c r="AD36" i="2"/>
  <c r="AA36" i="2"/>
  <c r="X36" i="2"/>
  <c r="U36" i="2"/>
  <c r="R36" i="2"/>
  <c r="O36" i="2"/>
  <c r="O44" i="2" s="1"/>
  <c r="L36" i="2"/>
  <c r="I36" i="2"/>
  <c r="F36" i="2"/>
  <c r="D36" i="2"/>
  <c r="AL34" i="2"/>
  <c r="AI34" i="2"/>
  <c r="AK34" i="2" s="1"/>
  <c r="AF34" i="2"/>
  <c r="AH34" i="2" s="1"/>
  <c r="AC34" i="2"/>
  <c r="AE34" i="2" s="1"/>
  <c r="Z34" i="2"/>
  <c r="AC18" i="2" s="1"/>
  <c r="W34" i="2"/>
  <c r="Y34" i="2" s="1"/>
  <c r="T34" i="2"/>
  <c r="Q34" i="2"/>
  <c r="N34" i="2"/>
  <c r="Q18" i="2" s="1"/>
  <c r="K34" i="2"/>
  <c r="M34" i="2" s="1"/>
  <c r="H34" i="2"/>
  <c r="J34" i="2" s="1"/>
  <c r="G34" i="2"/>
  <c r="AN33" i="2"/>
  <c r="AK33" i="2"/>
  <c r="AH33" i="2"/>
  <c r="AE33" i="2"/>
  <c r="AB33" i="2"/>
  <c r="Y33" i="2"/>
  <c r="V33" i="2"/>
  <c r="S33" i="2"/>
  <c r="P33" i="2"/>
  <c r="M33" i="2"/>
  <c r="J33" i="2"/>
  <c r="G33" i="2"/>
  <c r="AM30" i="2"/>
  <c r="AJ30" i="2"/>
  <c r="AG30" i="2"/>
  <c r="AD30" i="2"/>
  <c r="AA30" i="2"/>
  <c r="X30" i="2"/>
  <c r="U30" i="2"/>
  <c r="R30" i="2"/>
  <c r="O30" i="2"/>
  <c r="L30" i="2"/>
  <c r="I30" i="2"/>
  <c r="F30" i="2"/>
  <c r="AM29" i="2"/>
  <c r="AJ29" i="2"/>
  <c r="AG29" i="2"/>
  <c r="AD29" i="2"/>
  <c r="AA29" i="2"/>
  <c r="X29" i="2"/>
  <c r="U29" i="2"/>
  <c r="R29" i="2"/>
  <c r="O29" i="2"/>
  <c r="L29" i="2"/>
  <c r="I29" i="2"/>
  <c r="F29" i="2"/>
  <c r="E28" i="2"/>
  <c r="D28" i="2"/>
  <c r="AR27" i="2"/>
  <c r="AO27" i="2"/>
  <c r="AQ27" i="2" s="1"/>
  <c r="AV26" i="2"/>
  <c r="AQ26" i="2"/>
  <c r="BH24" i="2"/>
  <c r="BG24" i="2"/>
  <c r="BF24" i="2"/>
  <c r="BE24" i="2"/>
  <c r="BD24" i="2"/>
  <c r="BC24" i="2"/>
  <c r="BB24" i="2"/>
  <c r="AU24" i="2" s="1"/>
  <c r="AV24" i="2" s="1"/>
  <c r="BA24" i="2"/>
  <c r="AZ24" i="2"/>
  <c r="AY24" i="2"/>
  <c r="AX24" i="2"/>
  <c r="AW24" i="2"/>
  <c r="AR24" i="2"/>
  <c r="AP24" i="2"/>
  <c r="AO24" i="2"/>
  <c r="AQ24" i="2" s="1"/>
  <c r="AN24" i="2"/>
  <c r="AK24" i="2"/>
  <c r="AH24" i="2"/>
  <c r="AE24" i="2"/>
  <c r="AB24" i="2"/>
  <c r="Y24" i="2"/>
  <c r="J24" i="2"/>
  <c r="AR23" i="2"/>
  <c r="AM23" i="2"/>
  <c r="AL23" i="2"/>
  <c r="AJ23" i="2"/>
  <c r="AK23" i="2" s="1"/>
  <c r="AI23" i="2"/>
  <c r="AG23" i="2"/>
  <c r="AF23" i="2"/>
  <c r="AD23" i="2"/>
  <c r="AC23" i="2"/>
  <c r="AA23" i="2"/>
  <c r="Z23" i="2"/>
  <c r="X23" i="2"/>
  <c r="W23" i="2"/>
  <c r="U23" i="2"/>
  <c r="T23" i="2"/>
  <c r="R23" i="2"/>
  <c r="S23" i="2" s="1"/>
  <c r="Q23" i="2"/>
  <c r="O23" i="2"/>
  <c r="P23" i="2" s="1"/>
  <c r="N23" i="2"/>
  <c r="L23" i="2"/>
  <c r="K23" i="2"/>
  <c r="I23" i="2"/>
  <c r="H23" i="2"/>
  <c r="F23" i="2"/>
  <c r="BU23" i="2" s="1"/>
  <c r="E23" i="2"/>
  <c r="BI23" i="2" s="1"/>
  <c r="AR22" i="2"/>
  <c r="AM22" i="2"/>
  <c r="AJ22" i="2"/>
  <c r="AG22" i="2"/>
  <c r="AF22" i="2"/>
  <c r="AD22" i="2"/>
  <c r="AC22" i="2"/>
  <c r="AE22" i="2" s="1"/>
  <c r="AA22" i="2"/>
  <c r="Z22" i="2"/>
  <c r="X22" i="2"/>
  <c r="W22" i="2"/>
  <c r="U22" i="2"/>
  <c r="T22" i="2"/>
  <c r="R22" i="2"/>
  <c r="Q22" i="2"/>
  <c r="O22" i="2"/>
  <c r="L22" i="2"/>
  <c r="I22" i="2"/>
  <c r="F22" i="2"/>
  <c r="BU22" i="2" s="1"/>
  <c r="E22" i="2"/>
  <c r="AR21" i="2"/>
  <c r="AM21" i="2"/>
  <c r="AJ21" i="2"/>
  <c r="AG21" i="2"/>
  <c r="AF21" i="2"/>
  <c r="AD21" i="2"/>
  <c r="AC21" i="2"/>
  <c r="AA21" i="2"/>
  <c r="Z21" i="2"/>
  <c r="X21" i="2"/>
  <c r="W21" i="2"/>
  <c r="U21" i="2"/>
  <c r="T21" i="2"/>
  <c r="R21" i="2"/>
  <c r="Q21" i="2"/>
  <c r="O21" i="2"/>
  <c r="L21" i="2"/>
  <c r="I21" i="2"/>
  <c r="H21" i="2"/>
  <c r="F21" i="2"/>
  <c r="BU21" i="2" s="1"/>
  <c r="E21" i="2"/>
  <c r="BI21" i="2" s="1"/>
  <c r="AR20" i="2"/>
  <c r="AM20" i="2"/>
  <c r="AL20" i="2"/>
  <c r="AJ20" i="2"/>
  <c r="AI20" i="2"/>
  <c r="AG20" i="2"/>
  <c r="AF20" i="2"/>
  <c r="AD20" i="2"/>
  <c r="AE20" i="2" s="1"/>
  <c r="AC20" i="2"/>
  <c r="AA20" i="2"/>
  <c r="Z20" i="2"/>
  <c r="X20" i="2"/>
  <c r="W20" i="2"/>
  <c r="U20" i="2"/>
  <c r="T20" i="2"/>
  <c r="R20" i="2"/>
  <c r="Q20" i="2"/>
  <c r="O20" i="2"/>
  <c r="N20" i="2"/>
  <c r="L20" i="2"/>
  <c r="K20" i="2"/>
  <c r="I20" i="2"/>
  <c r="H20" i="2"/>
  <c r="F20" i="2"/>
  <c r="BU20" i="2" s="1"/>
  <c r="E20" i="2"/>
  <c r="BI20" i="2" s="1"/>
  <c r="AR19" i="2"/>
  <c r="AM19" i="2"/>
  <c r="AL19" i="2"/>
  <c r="AJ19" i="2"/>
  <c r="AI19" i="2"/>
  <c r="AG19" i="2"/>
  <c r="AF19" i="2"/>
  <c r="AD19" i="2"/>
  <c r="AC19" i="2"/>
  <c r="AA19" i="2"/>
  <c r="Z19" i="2"/>
  <c r="X19" i="2"/>
  <c r="W19" i="2"/>
  <c r="U19" i="2"/>
  <c r="T19" i="2"/>
  <c r="R19" i="2"/>
  <c r="Q19" i="2"/>
  <c r="O19" i="2"/>
  <c r="N19" i="2"/>
  <c r="L19" i="2"/>
  <c r="K19" i="2"/>
  <c r="I19" i="2"/>
  <c r="H19" i="2"/>
  <c r="F19" i="2"/>
  <c r="BU19" i="2" s="1"/>
  <c r="E19" i="2"/>
  <c r="BI19" i="2" s="1"/>
  <c r="AR18" i="2"/>
  <c r="AM18" i="2"/>
  <c r="AJ18" i="2"/>
  <c r="AG18" i="2"/>
  <c r="AD18" i="2"/>
  <c r="AA18" i="2"/>
  <c r="X18" i="2"/>
  <c r="U18" i="2"/>
  <c r="R18" i="2"/>
  <c r="O18" i="2"/>
  <c r="L18" i="2"/>
  <c r="I18" i="2"/>
  <c r="F18" i="2"/>
  <c r="BU18" i="2" s="1"/>
  <c r="E18" i="2"/>
  <c r="BI18" i="2" s="1"/>
  <c r="AR17" i="2"/>
  <c r="AM17" i="2"/>
  <c r="AL17" i="2"/>
  <c r="AL45" i="2" s="1"/>
  <c r="AL46" i="2" s="1"/>
  <c r="AJ17" i="2"/>
  <c r="AI17" i="2"/>
  <c r="AI45" i="2" s="1"/>
  <c r="AI46" i="2" s="1"/>
  <c r="AG17" i="2"/>
  <c r="AF17" i="2"/>
  <c r="AF45" i="2" s="1"/>
  <c r="AF46" i="2" s="1"/>
  <c r="AD17" i="2"/>
  <c r="AC17" i="2"/>
  <c r="AC45" i="2" s="1"/>
  <c r="AC46" i="2" s="1"/>
  <c r="AA17" i="2"/>
  <c r="Z17" i="2"/>
  <c r="Z45" i="2" s="1"/>
  <c r="Z46" i="2" s="1"/>
  <c r="X17" i="2"/>
  <c r="W17" i="2"/>
  <c r="W45" i="2" s="1"/>
  <c r="W46" i="2" s="1"/>
  <c r="U17" i="2"/>
  <c r="T17" i="2"/>
  <c r="T45" i="2" s="1"/>
  <c r="T46" i="2" s="1"/>
  <c r="R17" i="2"/>
  <c r="Q17" i="2"/>
  <c r="Q45" i="2" s="1"/>
  <c r="Q46" i="2" s="1"/>
  <c r="O17" i="2"/>
  <c r="P17" i="2" s="1"/>
  <c r="N17" i="2"/>
  <c r="N45" i="2" s="1"/>
  <c r="N46" i="2" s="1"/>
  <c r="L17" i="2"/>
  <c r="K17" i="2"/>
  <c r="K45" i="2" s="1"/>
  <c r="K46" i="2" s="1"/>
  <c r="I17" i="2"/>
  <c r="H17" i="2"/>
  <c r="H45" i="2" s="1"/>
  <c r="H46" i="2" s="1"/>
  <c r="F17" i="2"/>
  <c r="BU17" i="2" s="1"/>
  <c r="E17" i="2"/>
  <c r="E45" i="2" s="1"/>
  <c r="E46" i="2" s="1"/>
  <c r="AO16" i="2"/>
  <c r="AN16" i="2"/>
  <c r="AK16" i="2"/>
  <c r="AH16" i="2"/>
  <c r="AE16" i="2"/>
  <c r="AB16" i="2"/>
  <c r="Y16" i="2"/>
  <c r="V16" i="2"/>
  <c r="S16" i="2"/>
  <c r="P16" i="2"/>
  <c r="M16" i="2"/>
  <c r="J16" i="2"/>
  <c r="G16" i="2"/>
  <c r="AR15" i="2"/>
  <c r="W15" i="2"/>
  <c r="BU14" i="2"/>
  <c r="BI14" i="2"/>
  <c r="BJ14" i="2" s="1"/>
  <c r="BK14" i="2" s="1"/>
  <c r="BL14" i="2" s="1"/>
  <c r="BM14" i="2" s="1"/>
  <c r="BN14" i="2" s="1"/>
  <c r="BO14" i="2" s="1"/>
  <c r="BP14" i="2" s="1"/>
  <c r="BQ14" i="2" s="1"/>
  <c r="BR14" i="2" s="1"/>
  <c r="BS14" i="2" s="1"/>
  <c r="BT14" i="2" s="1"/>
  <c r="BH14" i="2"/>
  <c r="BG14" i="2"/>
  <c r="BF14" i="2"/>
  <c r="BE14" i="2"/>
  <c r="BD14" i="2"/>
  <c r="BC14" i="2"/>
  <c r="BB14" i="2"/>
  <c r="BA14" i="2"/>
  <c r="AZ14" i="2"/>
  <c r="AY14" i="2"/>
  <c r="AX14" i="2"/>
  <c r="AW14" i="2"/>
  <c r="AU14" i="2"/>
  <c r="AV14" i="2" s="1"/>
  <c r="AR14" i="2"/>
  <c r="AN14" i="2"/>
  <c r="AK14" i="2"/>
  <c r="AH14" i="2"/>
  <c r="AE14" i="2"/>
  <c r="AB14" i="2"/>
  <c r="Y14" i="2"/>
  <c r="V14" i="2"/>
  <c r="S14" i="2"/>
  <c r="P14" i="2"/>
  <c r="M14" i="2"/>
  <c r="J14" i="2"/>
  <c r="G14" i="2"/>
  <c r="BU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R13" i="2"/>
  <c r="AN13" i="2"/>
  <c r="AK13" i="2"/>
  <c r="AH13" i="2"/>
  <c r="AE13" i="2"/>
  <c r="AB13" i="2"/>
  <c r="Y13" i="2"/>
  <c r="V13" i="2"/>
  <c r="S13" i="2"/>
  <c r="P13" i="2"/>
  <c r="M13" i="2"/>
  <c r="J13" i="2"/>
  <c r="G13" i="2"/>
  <c r="BU12" i="2"/>
  <c r="BV12" i="2" s="1"/>
  <c r="BW12" i="2" s="1"/>
  <c r="BX12" i="2" s="1"/>
  <c r="BY12" i="2" s="1"/>
  <c r="BZ12" i="2" s="1"/>
  <c r="CA12" i="2" s="1"/>
  <c r="CB12" i="2" s="1"/>
  <c r="CC12" i="2" s="1"/>
  <c r="CD12" i="2" s="1"/>
  <c r="CE12" i="2" s="1"/>
  <c r="CF12" i="2" s="1"/>
  <c r="BI12" i="2"/>
  <c r="BJ12" i="2" s="1"/>
  <c r="BK12" i="2" s="1"/>
  <c r="BL12" i="2" s="1"/>
  <c r="BM12" i="2" s="1"/>
  <c r="BN12" i="2" s="1"/>
  <c r="BO12" i="2" s="1"/>
  <c r="BP12" i="2" s="1"/>
  <c r="BQ12" i="2" s="1"/>
  <c r="BR12" i="2" s="1"/>
  <c r="BS12" i="2" s="1"/>
  <c r="BT12" i="2" s="1"/>
  <c r="BH12" i="2"/>
  <c r="BG12" i="2"/>
  <c r="BF12" i="2"/>
  <c r="BE12" i="2"/>
  <c r="BD12" i="2"/>
  <c r="BC12" i="2"/>
  <c r="BB12" i="2"/>
  <c r="BA12" i="2"/>
  <c r="AZ12" i="2"/>
  <c r="AY12" i="2"/>
  <c r="AX12" i="2"/>
  <c r="AW12" i="2"/>
  <c r="AR12" i="2"/>
  <c r="AN12" i="2"/>
  <c r="AK12" i="2"/>
  <c r="AH12" i="2"/>
  <c r="AE12" i="2"/>
  <c r="AB12" i="2"/>
  <c r="Y12" i="2"/>
  <c r="V12" i="2"/>
  <c r="S12" i="2"/>
  <c r="P12" i="2"/>
  <c r="M12" i="2"/>
  <c r="J12" i="2"/>
  <c r="G12" i="2"/>
  <c r="BU11" i="2"/>
  <c r="BI11" i="2"/>
  <c r="BJ11" i="2" s="1"/>
  <c r="BK11" i="2" s="1"/>
  <c r="BL11" i="2" s="1"/>
  <c r="BM11" i="2" s="1"/>
  <c r="BN11" i="2" s="1"/>
  <c r="BO11" i="2" s="1"/>
  <c r="BP11" i="2" s="1"/>
  <c r="BQ11" i="2" s="1"/>
  <c r="BR11" i="2" s="1"/>
  <c r="BS11" i="2" s="1"/>
  <c r="BT11" i="2" s="1"/>
  <c r="BH11" i="2"/>
  <c r="BG11" i="2"/>
  <c r="BF11" i="2"/>
  <c r="BE11" i="2"/>
  <c r="BD11" i="2"/>
  <c r="BC11" i="2"/>
  <c r="BB11" i="2"/>
  <c r="BA11" i="2"/>
  <c r="AZ11" i="2"/>
  <c r="AY11" i="2"/>
  <c r="AX11" i="2"/>
  <c r="AW11" i="2"/>
  <c r="AU11" i="2" s="1"/>
  <c r="AV11" i="2" s="1"/>
  <c r="AR11" i="2"/>
  <c r="AN11" i="2"/>
  <c r="AK11" i="2"/>
  <c r="AH11" i="2"/>
  <c r="AE11" i="2"/>
  <c r="AB11" i="2"/>
  <c r="Y11" i="2"/>
  <c r="V11" i="2"/>
  <c r="S11" i="2"/>
  <c r="P11" i="2"/>
  <c r="M11" i="2"/>
  <c r="J11" i="2"/>
  <c r="G11" i="2"/>
  <c r="BU10" i="2"/>
  <c r="BI10" i="2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H10" i="2"/>
  <c r="BG10" i="2"/>
  <c r="BF10" i="2"/>
  <c r="BE10" i="2"/>
  <c r="BD10" i="2"/>
  <c r="BC10" i="2"/>
  <c r="BB10" i="2"/>
  <c r="BA10" i="2"/>
  <c r="AZ10" i="2"/>
  <c r="AY10" i="2"/>
  <c r="AX10" i="2"/>
  <c r="AW10" i="2"/>
  <c r="AR10" i="2"/>
  <c r="AN10" i="2"/>
  <c r="AK10" i="2"/>
  <c r="AH10" i="2"/>
  <c r="AE10" i="2"/>
  <c r="AB10" i="2"/>
  <c r="Y10" i="2"/>
  <c r="V10" i="2"/>
  <c r="S10" i="2"/>
  <c r="P10" i="2"/>
  <c r="M10" i="2"/>
  <c r="J10" i="2"/>
  <c r="G10" i="2"/>
  <c r="BV9" i="2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BU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U9" i="2" s="1"/>
  <c r="AV9" i="2" s="1"/>
  <c r="AR9" i="2"/>
  <c r="AN9" i="2"/>
  <c r="AK9" i="2"/>
  <c r="AH9" i="2"/>
  <c r="AE9" i="2"/>
  <c r="AB9" i="2"/>
  <c r="Y9" i="2"/>
  <c r="V9" i="2"/>
  <c r="S9" i="2"/>
  <c r="P9" i="2"/>
  <c r="M9" i="2"/>
  <c r="J9" i="2"/>
  <c r="G9" i="2"/>
  <c r="BU8" i="2"/>
  <c r="BV8" i="2" s="1"/>
  <c r="BW8" i="2" s="1"/>
  <c r="BX8" i="2" s="1"/>
  <c r="BY8" i="2" s="1"/>
  <c r="BZ8" i="2" s="1"/>
  <c r="CA8" i="2" s="1"/>
  <c r="CB8" i="2" s="1"/>
  <c r="CC8" i="2" s="1"/>
  <c r="CD8" i="2" s="1"/>
  <c r="CE8" i="2" s="1"/>
  <c r="CF8" i="2" s="1"/>
  <c r="BI8" i="2"/>
  <c r="BJ8" i="2" s="1"/>
  <c r="BK8" i="2" s="1"/>
  <c r="BL8" i="2" s="1"/>
  <c r="BM8" i="2" s="1"/>
  <c r="BN8" i="2" s="1"/>
  <c r="BO8" i="2" s="1"/>
  <c r="BP8" i="2" s="1"/>
  <c r="BQ8" i="2" s="1"/>
  <c r="BR8" i="2" s="1"/>
  <c r="BS8" i="2" s="1"/>
  <c r="BT8" i="2" s="1"/>
  <c r="BH8" i="2"/>
  <c r="BG8" i="2"/>
  <c r="BF8" i="2"/>
  <c r="BE8" i="2"/>
  <c r="BD8" i="2"/>
  <c r="BC8" i="2"/>
  <c r="BB8" i="2"/>
  <c r="AU8" i="2" s="1"/>
  <c r="AV8" i="2" s="1"/>
  <c r="BA8" i="2"/>
  <c r="AZ8" i="2"/>
  <c r="AY8" i="2"/>
  <c r="AX8" i="2"/>
  <c r="AW8" i="2"/>
  <c r="AR8" i="2"/>
  <c r="AN8" i="2"/>
  <c r="AK8" i="2"/>
  <c r="AH8" i="2"/>
  <c r="AE8" i="2"/>
  <c r="AB8" i="2"/>
  <c r="Y8" i="2"/>
  <c r="V8" i="2"/>
  <c r="S8" i="2"/>
  <c r="P8" i="2"/>
  <c r="M8" i="2"/>
  <c r="J8" i="2"/>
  <c r="G8" i="2"/>
  <c r="AT7" i="2"/>
  <c r="AT15" i="2" s="1"/>
  <c r="AR7" i="2"/>
  <c r="AM7" i="2"/>
  <c r="AN7" i="2" s="1"/>
  <c r="AL7" i="2"/>
  <c r="AL15" i="2" s="1"/>
  <c r="AJ7" i="2"/>
  <c r="AJ15" i="2" s="1"/>
  <c r="AI7" i="2"/>
  <c r="AI15" i="2" s="1"/>
  <c r="AG7" i="2"/>
  <c r="AF7" i="2"/>
  <c r="AF15" i="2" s="1"/>
  <c r="AD7" i="2"/>
  <c r="AD15" i="2" s="1"/>
  <c r="AC7" i="2"/>
  <c r="AC15" i="2" s="1"/>
  <c r="AA7" i="2"/>
  <c r="AA15" i="2" s="1"/>
  <c r="AA25" i="2" s="1"/>
  <c r="Z7" i="2"/>
  <c r="Z15" i="2" s="1"/>
  <c r="X7" i="2"/>
  <c r="X15" i="2" s="1"/>
  <c r="W7" i="2"/>
  <c r="U7" i="2"/>
  <c r="T7" i="2"/>
  <c r="T15" i="2" s="1"/>
  <c r="R7" i="2"/>
  <c r="R15" i="2" s="1"/>
  <c r="Q7" i="2"/>
  <c r="Q15" i="2" s="1"/>
  <c r="O7" i="2"/>
  <c r="O15" i="2" s="1"/>
  <c r="O25" i="2" s="1"/>
  <c r="N7" i="2"/>
  <c r="N15" i="2" s="1"/>
  <c r="L7" i="2"/>
  <c r="K7" i="2"/>
  <c r="K15" i="2" s="1"/>
  <c r="I7" i="2"/>
  <c r="H7" i="2"/>
  <c r="H15" i="2" s="1"/>
  <c r="F7" i="2"/>
  <c r="F15" i="2" s="1"/>
  <c r="E7" i="2"/>
  <c r="E15" i="2" s="1"/>
  <c r="BU6" i="2"/>
  <c r="BI6" i="2"/>
  <c r="BJ6" i="2" s="1"/>
  <c r="BK6" i="2" s="1"/>
  <c r="BL6" i="2" s="1"/>
  <c r="BM6" i="2" s="1"/>
  <c r="BN6" i="2" s="1"/>
  <c r="BO6" i="2" s="1"/>
  <c r="BP6" i="2" s="1"/>
  <c r="BQ6" i="2" s="1"/>
  <c r="BR6" i="2" s="1"/>
  <c r="BS6" i="2" s="1"/>
  <c r="BT6" i="2" s="1"/>
  <c r="BH6" i="2"/>
  <c r="BG6" i="2"/>
  <c r="BF6" i="2"/>
  <c r="BE6" i="2"/>
  <c r="BD6" i="2"/>
  <c r="BC6" i="2"/>
  <c r="BB6" i="2"/>
  <c r="BA6" i="2"/>
  <c r="AZ6" i="2"/>
  <c r="AY6" i="2"/>
  <c r="AX6" i="2"/>
  <c r="AW6" i="2"/>
  <c r="AR6" i="2"/>
  <c r="AN6" i="2"/>
  <c r="AK6" i="2"/>
  <c r="AH6" i="2"/>
  <c r="AE6" i="2"/>
  <c r="AB6" i="2"/>
  <c r="Y6" i="2"/>
  <c r="V6" i="2"/>
  <c r="S6" i="2"/>
  <c r="P6" i="2"/>
  <c r="M6" i="2"/>
  <c r="J6" i="2"/>
  <c r="G6" i="2"/>
  <c r="BU5" i="2"/>
  <c r="BV5" i="2" s="1"/>
  <c r="BW5" i="2" s="1"/>
  <c r="BX5" i="2" s="1"/>
  <c r="BY5" i="2" s="1"/>
  <c r="BZ5" i="2" s="1"/>
  <c r="CA5" i="2" s="1"/>
  <c r="CB5" i="2" s="1"/>
  <c r="CC5" i="2" s="1"/>
  <c r="CD5" i="2" s="1"/>
  <c r="CE5" i="2" s="1"/>
  <c r="CF5" i="2" s="1"/>
  <c r="BI5" i="2"/>
  <c r="BJ5" i="2" s="1"/>
  <c r="BK5" i="2" s="1"/>
  <c r="BL5" i="2" s="1"/>
  <c r="BM5" i="2" s="1"/>
  <c r="BN5" i="2" s="1"/>
  <c r="BH5" i="2"/>
  <c r="BG5" i="2"/>
  <c r="BF5" i="2"/>
  <c r="BE5" i="2"/>
  <c r="BD5" i="2"/>
  <c r="BC5" i="2"/>
  <c r="BB5" i="2"/>
  <c r="AU5" i="2" s="1"/>
  <c r="AV5" i="2" s="1"/>
  <c r="BA5" i="2"/>
  <c r="AZ5" i="2"/>
  <c r="AY5" i="2"/>
  <c r="AX5" i="2"/>
  <c r="AW5" i="2"/>
  <c r="AR5" i="2"/>
  <c r="AN5" i="2"/>
  <c r="AK5" i="2"/>
  <c r="AH5" i="2"/>
  <c r="AE5" i="2"/>
  <c r="AB5" i="2"/>
  <c r="Y5" i="2"/>
  <c r="V5" i="2"/>
  <c r="S5" i="2"/>
  <c r="P5" i="2"/>
  <c r="M5" i="2"/>
  <c r="J5" i="2"/>
  <c r="G5" i="2"/>
  <c r="BU4" i="2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BI4" i="2"/>
  <c r="BH4" i="2"/>
  <c r="BG4" i="2"/>
  <c r="BF4" i="2"/>
  <c r="BE4" i="2"/>
  <c r="BE7" i="2" s="1"/>
  <c r="BE15" i="2" s="1"/>
  <c r="BD4" i="2"/>
  <c r="BC4" i="2"/>
  <c r="BB4" i="2"/>
  <c r="AU4" i="2" s="1"/>
  <c r="BA4" i="2"/>
  <c r="AZ4" i="2"/>
  <c r="AY4" i="2"/>
  <c r="AX4" i="2"/>
  <c r="AW4" i="2"/>
  <c r="AR4" i="2"/>
  <c r="AP4" i="2"/>
  <c r="AN4" i="2"/>
  <c r="AK4" i="2"/>
  <c r="AH4" i="2"/>
  <c r="AE4" i="2"/>
  <c r="AB4" i="2"/>
  <c r="Y4" i="2"/>
  <c r="V4" i="2"/>
  <c r="S4" i="2"/>
  <c r="P4" i="2"/>
  <c r="M4" i="2"/>
  <c r="J4" i="2"/>
  <c r="G4" i="2"/>
  <c r="AY1" i="2"/>
  <c r="AJ36" i="1"/>
  <c r="G5" i="1"/>
  <c r="G6" i="1"/>
  <c r="G8" i="1"/>
  <c r="G9" i="1"/>
  <c r="G10" i="1"/>
  <c r="G11" i="1"/>
  <c r="G12" i="1"/>
  <c r="G13" i="1"/>
  <c r="G14" i="1"/>
  <c r="G4" i="1"/>
  <c r="AL40" i="1"/>
  <c r="AI40" i="1"/>
  <c r="AY7" i="3" l="1"/>
  <c r="AC18" i="3"/>
  <c r="AF18" i="3"/>
  <c r="AC25" i="3"/>
  <c r="AF25" i="3"/>
  <c r="AI18" i="3"/>
  <c r="AK18" i="3" s="1"/>
  <c r="V17" i="3"/>
  <c r="AE18" i="3"/>
  <c r="P21" i="3"/>
  <c r="AB21" i="3"/>
  <c r="AN21" i="3"/>
  <c r="AK23" i="3"/>
  <c r="L44" i="3"/>
  <c r="AJ44" i="3"/>
  <c r="AF18" i="2"/>
  <c r="AE21" i="2"/>
  <c r="Y22" i="2"/>
  <c r="T18" i="2"/>
  <c r="P23" i="3"/>
  <c r="S22" i="2"/>
  <c r="Y20" i="2"/>
  <c r="AU7" i="3"/>
  <c r="AU15" i="3" s="1"/>
  <c r="AD25" i="2"/>
  <c r="AO11" i="2"/>
  <c r="W18" i="2"/>
  <c r="Y17" i="3"/>
  <c r="BG17" i="3"/>
  <c r="J18" i="3"/>
  <c r="AW20" i="3"/>
  <c r="G21" i="3"/>
  <c r="S21" i="3"/>
  <c r="AE21" i="3"/>
  <c r="AN23" i="3"/>
  <c r="X44" i="2"/>
  <c r="BC7" i="2"/>
  <c r="BC15" i="2" s="1"/>
  <c r="BG7" i="2"/>
  <c r="BG15" i="2" s="1"/>
  <c r="BD7" i="2"/>
  <c r="BD15" i="2" s="1"/>
  <c r="AI18" i="2"/>
  <c r="M20" i="3"/>
  <c r="Y20" i="3"/>
  <c r="J21" i="3"/>
  <c r="BV23" i="3"/>
  <c r="AP23" i="3" s="1"/>
  <c r="S23" i="3"/>
  <c r="BK19" i="3"/>
  <c r="BL19" i="3" s="1"/>
  <c r="BM19" i="3" s="1"/>
  <c r="BN19" i="3" s="1"/>
  <c r="BO19" i="3" s="1"/>
  <c r="BP19" i="3" s="1"/>
  <c r="BQ19" i="3" s="1"/>
  <c r="BR19" i="3" s="1"/>
  <c r="BS19" i="3" s="1"/>
  <c r="BT19" i="3" s="1"/>
  <c r="Y21" i="3"/>
  <c r="S17" i="3"/>
  <c r="AK18" i="2"/>
  <c r="Y19" i="2"/>
  <c r="AP8" i="2"/>
  <c r="H18" i="2"/>
  <c r="J18" i="2" s="1"/>
  <c r="AH22" i="2"/>
  <c r="M23" i="2"/>
  <c r="U44" i="2"/>
  <c r="AW7" i="3"/>
  <c r="AW15" i="3" s="1"/>
  <c r="BE7" i="3"/>
  <c r="BE15" i="3" s="1"/>
  <c r="AK19" i="3"/>
  <c r="G20" i="3"/>
  <c r="Q8" i="4"/>
  <c r="Q7" i="4"/>
  <c r="BK5" i="3"/>
  <c r="BL5" i="3" s="1"/>
  <c r="BM5" i="3" s="1"/>
  <c r="BN5" i="3" s="1"/>
  <c r="BO5" i="3" s="1"/>
  <c r="BP5" i="3" s="1"/>
  <c r="BQ5" i="3" s="1"/>
  <c r="BR5" i="3" s="1"/>
  <c r="BS5" i="3" s="1"/>
  <c r="BT5" i="3" s="1"/>
  <c r="AO5" i="3"/>
  <c r="AQ5" i="3" s="1"/>
  <c r="BO5" i="2"/>
  <c r="BP5" i="2" s="1"/>
  <c r="BQ5" i="2" s="1"/>
  <c r="BR5" i="2" s="1"/>
  <c r="BS5" i="2" s="1"/>
  <c r="BT5" i="2" s="1"/>
  <c r="AO5" i="2"/>
  <c r="AO11" i="3"/>
  <c r="BK11" i="3"/>
  <c r="BL11" i="3" s="1"/>
  <c r="BM11" i="3" s="1"/>
  <c r="BN11" i="3" s="1"/>
  <c r="BO11" i="3" s="1"/>
  <c r="BP11" i="3" s="1"/>
  <c r="BQ11" i="3" s="1"/>
  <c r="BR11" i="3" s="1"/>
  <c r="BS11" i="3" s="1"/>
  <c r="BT11" i="3" s="1"/>
  <c r="Q25" i="2"/>
  <c r="AH18" i="2"/>
  <c r="R25" i="2"/>
  <c r="S25" i="2" s="1"/>
  <c r="S17" i="2"/>
  <c r="AE17" i="2"/>
  <c r="AE19" i="2"/>
  <c r="N21" i="2"/>
  <c r="F44" i="2"/>
  <c r="E15" i="3"/>
  <c r="BI15" i="3" s="1"/>
  <c r="BJ15" i="3" s="1"/>
  <c r="BK15" i="3" s="1"/>
  <c r="BL15" i="3" s="1"/>
  <c r="BM15" i="3" s="1"/>
  <c r="BJ21" i="3"/>
  <c r="AC25" i="2"/>
  <c r="AE25" i="2" s="1"/>
  <c r="AP12" i="2"/>
  <c r="S18" i="2"/>
  <c r="G19" i="2"/>
  <c r="AW7" i="2"/>
  <c r="AW15" i="2" s="1"/>
  <c r="AU10" i="2"/>
  <c r="AV10" i="2" s="1"/>
  <c r="AB21" i="2"/>
  <c r="I44" i="2"/>
  <c r="AK7" i="3"/>
  <c r="AK15" i="3" s="1"/>
  <c r="CD21" i="3"/>
  <c r="CE21" i="3" s="1"/>
  <c r="CF21" i="3" s="1"/>
  <c r="AN15" i="2"/>
  <c r="AU6" i="2"/>
  <c r="AV6" i="2" s="1"/>
  <c r="AF25" i="2"/>
  <c r="AU12" i="2"/>
  <c r="AV12" i="2" s="1"/>
  <c r="AB20" i="2"/>
  <c r="AG44" i="2"/>
  <c r="AY7" i="2"/>
  <c r="AY15" i="2" s="1"/>
  <c r="V7" i="2"/>
  <c r="AH7" i="2"/>
  <c r="BU7" i="2"/>
  <c r="AP9" i="2"/>
  <c r="AH17" i="2"/>
  <c r="Z18" i="2"/>
  <c r="AB18" i="2" s="1"/>
  <c r="AH19" i="2"/>
  <c r="G22" i="2"/>
  <c r="J23" i="2"/>
  <c r="L44" i="2"/>
  <c r="AJ44" i="2"/>
  <c r="R25" i="3"/>
  <c r="T15" i="3"/>
  <c r="V22" i="3"/>
  <c r="G23" i="3"/>
  <c r="AB23" i="3"/>
  <c r="F44" i="3"/>
  <c r="AD44" i="3"/>
  <c r="AK20" i="2"/>
  <c r="BB15" i="3"/>
  <c r="M15" i="3"/>
  <c r="BF17" i="3"/>
  <c r="M18" i="3"/>
  <c r="AB19" i="3"/>
  <c r="J23" i="3"/>
  <c r="AM15" i="2"/>
  <c r="AM25" i="2" s="1"/>
  <c r="Y21" i="2"/>
  <c r="X25" i="2"/>
  <c r="AJ25" i="2"/>
  <c r="AU13" i="2"/>
  <c r="AV13" i="2" s="1"/>
  <c r="AK19" i="2"/>
  <c r="V20" i="2"/>
  <c r="Y23" i="2"/>
  <c r="BC7" i="3"/>
  <c r="BC15" i="3" s="1"/>
  <c r="AE7" i="3"/>
  <c r="AE15" i="3" s="1"/>
  <c r="AN7" i="3"/>
  <c r="AN15" i="3" s="1"/>
  <c r="M17" i="3"/>
  <c r="G19" i="3"/>
  <c r="AB20" i="3"/>
  <c r="BD21" i="3"/>
  <c r="AV4" i="3"/>
  <c r="AV7" i="3" s="1"/>
  <c r="AV15" i="3" s="1"/>
  <c r="BD7" i="3"/>
  <c r="BD15" i="3" s="1"/>
  <c r="AY15" i="3"/>
  <c r="BG15" i="3"/>
  <c r="AP8" i="3"/>
  <c r="BI17" i="3"/>
  <c r="BJ17" i="3" s="1"/>
  <c r="AH23" i="3"/>
  <c r="AP21" i="3"/>
  <c r="R44" i="3"/>
  <c r="BJ18" i="3"/>
  <c r="BK18" i="3" s="1"/>
  <c r="BL18" i="3" s="1"/>
  <c r="BM18" i="3" s="1"/>
  <c r="J19" i="3"/>
  <c r="J20" i="3"/>
  <c r="AN20" i="3"/>
  <c r="V21" i="3"/>
  <c r="U44" i="3"/>
  <c r="BW20" i="3"/>
  <c r="BX20" i="3" s="1"/>
  <c r="BY20" i="3" s="1"/>
  <c r="BZ20" i="3" s="1"/>
  <c r="CA20" i="3" s="1"/>
  <c r="CB20" i="3" s="1"/>
  <c r="CC20" i="3" s="1"/>
  <c r="CD20" i="3" s="1"/>
  <c r="CE20" i="3" s="1"/>
  <c r="CF20" i="3" s="1"/>
  <c r="AP20" i="3"/>
  <c r="AO14" i="3"/>
  <c r="BK14" i="3"/>
  <c r="BL14" i="3" s="1"/>
  <c r="BM14" i="3" s="1"/>
  <c r="BN14" i="3" s="1"/>
  <c r="BO14" i="3" s="1"/>
  <c r="BP14" i="3" s="1"/>
  <c r="BQ14" i="3" s="1"/>
  <c r="BR14" i="3" s="1"/>
  <c r="BS14" i="3" s="1"/>
  <c r="BT14" i="3" s="1"/>
  <c r="AO4" i="3"/>
  <c r="BK4" i="3"/>
  <c r="BL4" i="3" s="1"/>
  <c r="BM4" i="3" s="1"/>
  <c r="BN4" i="3" s="1"/>
  <c r="BO4" i="3" s="1"/>
  <c r="BP4" i="3" s="1"/>
  <c r="BQ4" i="3" s="1"/>
  <c r="BR4" i="3" s="1"/>
  <c r="BS4" i="3" s="1"/>
  <c r="BT4" i="3" s="1"/>
  <c r="AD25" i="3"/>
  <c r="BK9" i="3"/>
  <c r="BL9" i="3" s="1"/>
  <c r="BM9" i="3" s="1"/>
  <c r="BN9" i="3" s="1"/>
  <c r="BO9" i="3" s="1"/>
  <c r="BP9" i="3" s="1"/>
  <c r="BQ9" i="3" s="1"/>
  <c r="BR9" i="3" s="1"/>
  <c r="BS9" i="3" s="1"/>
  <c r="BT9" i="3" s="1"/>
  <c r="AO9" i="3"/>
  <c r="AP12" i="3"/>
  <c r="AQ12" i="3" s="1"/>
  <c r="AP14" i="3"/>
  <c r="AQ14" i="3" s="1"/>
  <c r="BK7" i="3"/>
  <c r="BL7" i="3" s="1"/>
  <c r="BM7" i="3" s="1"/>
  <c r="BN7" i="3" s="1"/>
  <c r="BO7" i="3" s="1"/>
  <c r="BP7" i="3" s="1"/>
  <c r="BQ7" i="3" s="1"/>
  <c r="BR7" i="3" s="1"/>
  <c r="BS7" i="3" s="1"/>
  <c r="BT7" i="3" s="1"/>
  <c r="AO7" i="3"/>
  <c r="BF7" i="3"/>
  <c r="BF15" i="3" s="1"/>
  <c r="BW5" i="3"/>
  <c r="BX5" i="3" s="1"/>
  <c r="BY5" i="3" s="1"/>
  <c r="BZ5" i="3" s="1"/>
  <c r="CA5" i="3" s="1"/>
  <c r="CB5" i="3" s="1"/>
  <c r="CC5" i="3" s="1"/>
  <c r="CD5" i="3" s="1"/>
  <c r="CE5" i="3" s="1"/>
  <c r="CF5" i="3" s="1"/>
  <c r="AP6" i="3"/>
  <c r="AO10" i="3"/>
  <c r="AQ10" i="3" s="1"/>
  <c r="BK10" i="3"/>
  <c r="BL10" i="3" s="1"/>
  <c r="BM10" i="3" s="1"/>
  <c r="BN10" i="3" s="1"/>
  <c r="BO10" i="3" s="1"/>
  <c r="BP10" i="3" s="1"/>
  <c r="BQ10" i="3" s="1"/>
  <c r="BR10" i="3" s="1"/>
  <c r="BS10" i="3" s="1"/>
  <c r="BT10" i="3" s="1"/>
  <c r="BH18" i="3"/>
  <c r="AN18" i="3"/>
  <c r="V15" i="3"/>
  <c r="BK6" i="3"/>
  <c r="BL6" i="3" s="1"/>
  <c r="BM6" i="3" s="1"/>
  <c r="BN6" i="3" s="1"/>
  <c r="BO6" i="3" s="1"/>
  <c r="BP6" i="3" s="1"/>
  <c r="BQ6" i="3" s="1"/>
  <c r="BR6" i="3" s="1"/>
  <c r="BS6" i="3" s="1"/>
  <c r="BT6" i="3" s="1"/>
  <c r="AO6" i="3"/>
  <c r="AP4" i="3"/>
  <c r="BW4" i="3"/>
  <c r="BX4" i="3" s="1"/>
  <c r="BY4" i="3" s="1"/>
  <c r="BZ4" i="3" s="1"/>
  <c r="CA4" i="3" s="1"/>
  <c r="CB4" i="3" s="1"/>
  <c r="CC4" i="3" s="1"/>
  <c r="CD4" i="3" s="1"/>
  <c r="CE4" i="3" s="1"/>
  <c r="CF4" i="3" s="1"/>
  <c r="BU7" i="3"/>
  <c r="BV7" i="3" s="1"/>
  <c r="F15" i="3"/>
  <c r="O15" i="3"/>
  <c r="O25" i="3" s="1"/>
  <c r="P7" i="3"/>
  <c r="P15" i="3" s="1"/>
  <c r="BK13" i="3"/>
  <c r="BL13" i="3" s="1"/>
  <c r="BM13" i="3" s="1"/>
  <c r="BN13" i="3" s="1"/>
  <c r="BO13" i="3" s="1"/>
  <c r="BP13" i="3" s="1"/>
  <c r="BQ13" i="3" s="1"/>
  <c r="BR13" i="3" s="1"/>
  <c r="BS13" i="3" s="1"/>
  <c r="BT13" i="3" s="1"/>
  <c r="AO13" i="3"/>
  <c r="AF45" i="3"/>
  <c r="AF46" i="3" s="1"/>
  <c r="BA17" i="3"/>
  <c r="AZ17" i="3"/>
  <c r="AP17" i="3"/>
  <c r="BF20" i="3"/>
  <c r="BE20" i="3"/>
  <c r="P20" i="3"/>
  <c r="BK8" i="3"/>
  <c r="BL8" i="3" s="1"/>
  <c r="BM8" i="3" s="1"/>
  <c r="BN8" i="3" s="1"/>
  <c r="BO8" i="3" s="1"/>
  <c r="BP8" i="3" s="1"/>
  <c r="BQ8" i="3" s="1"/>
  <c r="BR8" i="3" s="1"/>
  <c r="BS8" i="3" s="1"/>
  <c r="BT8" i="3" s="1"/>
  <c r="AO8" i="3"/>
  <c r="BC18" i="3"/>
  <c r="BG18" i="3"/>
  <c r="G7" i="3"/>
  <c r="G15" i="3" s="1"/>
  <c r="AX7" i="3"/>
  <c r="AX15" i="3" s="1"/>
  <c r="BH17" i="3"/>
  <c r="AH17" i="3"/>
  <c r="AP19" i="3"/>
  <c r="AQ19" i="3" s="1"/>
  <c r="BW19" i="3"/>
  <c r="BX19" i="3" s="1"/>
  <c r="BY19" i="3" s="1"/>
  <c r="BZ19" i="3" s="1"/>
  <c r="CA19" i="3" s="1"/>
  <c r="CB19" i="3" s="1"/>
  <c r="CC19" i="3" s="1"/>
  <c r="CD19" i="3" s="1"/>
  <c r="CE19" i="3" s="1"/>
  <c r="CF19" i="3" s="1"/>
  <c r="AP11" i="3"/>
  <c r="AQ11" i="3" s="1"/>
  <c r="BW11" i="3"/>
  <c r="BX11" i="3" s="1"/>
  <c r="BY11" i="3" s="1"/>
  <c r="BZ11" i="3" s="1"/>
  <c r="CA11" i="3" s="1"/>
  <c r="CB11" i="3" s="1"/>
  <c r="CC11" i="3" s="1"/>
  <c r="CD11" i="3" s="1"/>
  <c r="CE11" i="3" s="1"/>
  <c r="CF11" i="3" s="1"/>
  <c r="E37" i="3"/>
  <c r="U25" i="3"/>
  <c r="AO18" i="3"/>
  <c r="BB19" i="3"/>
  <c r="AZ19" i="3"/>
  <c r="BG19" i="3"/>
  <c r="AY19" i="3"/>
  <c r="BF19" i="3"/>
  <c r="BE19" i="3"/>
  <c r="BD19" i="3"/>
  <c r="BC20" i="3"/>
  <c r="BK21" i="3"/>
  <c r="BL21" i="3" s="1"/>
  <c r="BM21" i="3" s="1"/>
  <c r="BN21" i="3" s="1"/>
  <c r="BO21" i="3" s="1"/>
  <c r="BP21" i="3" s="1"/>
  <c r="BQ21" i="3" s="1"/>
  <c r="BR21" i="3" s="1"/>
  <c r="BS21" i="3" s="1"/>
  <c r="BT21" i="3" s="1"/>
  <c r="AO21" i="3"/>
  <c r="BA23" i="3"/>
  <c r="BG23" i="3"/>
  <c r="AY23" i="3"/>
  <c r="BF23" i="3"/>
  <c r="AX23" i="3"/>
  <c r="AU23" i="3" s="1"/>
  <c r="BB23" i="3"/>
  <c r="BE23" i="3"/>
  <c r="BU18" i="3"/>
  <c r="BV18" i="3" s="1"/>
  <c r="G18" i="3"/>
  <c r="BH19" i="3"/>
  <c r="BH23" i="3"/>
  <c r="AQ24" i="3"/>
  <c r="AW23" i="3"/>
  <c r="AW19" i="3"/>
  <c r="I25" i="3"/>
  <c r="Q25" i="3"/>
  <c r="S25" i="3" s="1"/>
  <c r="Y7" i="3"/>
  <c r="Y15" i="3" s="1"/>
  <c r="AH7" i="3"/>
  <c r="AH15" i="3" s="1"/>
  <c r="AI45" i="3"/>
  <c r="AI46" i="3" s="1"/>
  <c r="BC17" i="3"/>
  <c r="BB17" i="3"/>
  <c r="AX19" i="3"/>
  <c r="AU19" i="3" s="1"/>
  <c r="AV19" i="3" s="1"/>
  <c r="BB21" i="3"/>
  <c r="AZ23" i="3"/>
  <c r="AG25" i="3"/>
  <c r="AH25" i="3" s="1"/>
  <c r="AZ7" i="3"/>
  <c r="AZ15" i="3" s="1"/>
  <c r="BH7" i="3"/>
  <c r="BH15" i="3" s="1"/>
  <c r="J7" i="3"/>
  <c r="J15" i="3" s="1"/>
  <c r="Z25" i="3"/>
  <c r="AK17" i="3"/>
  <c r="AX17" i="3"/>
  <c r="AU17" i="3" s="1"/>
  <c r="AV17" i="3" s="1"/>
  <c r="AH18" i="3"/>
  <c r="BA19" i="3"/>
  <c r="S20" i="3"/>
  <c r="AY20" i="3"/>
  <c r="AE20" i="3"/>
  <c r="AX20" i="3"/>
  <c r="AU20" i="3" s="1"/>
  <c r="AV20" i="3" s="1"/>
  <c r="BG20" i="3"/>
  <c r="M21" i="3"/>
  <c r="BE21" i="3"/>
  <c r="BU22" i="3"/>
  <c r="BV22" i="3" s="1"/>
  <c r="G22" i="3"/>
  <c r="BC23" i="3"/>
  <c r="Y25" i="3"/>
  <c r="BA7" i="3"/>
  <c r="BA15" i="3" s="1"/>
  <c r="S7" i="3"/>
  <c r="S15" i="3" s="1"/>
  <c r="AA15" i="3"/>
  <c r="AA25" i="3" s="1"/>
  <c r="AB7" i="3"/>
  <c r="AB15" i="3" s="1"/>
  <c r="AP9" i="3"/>
  <c r="AP13" i="3"/>
  <c r="AB17" i="3"/>
  <c r="AY17" i="3"/>
  <c r="Y18" i="3"/>
  <c r="BC19" i="3"/>
  <c r="BH20" i="3"/>
  <c r="AW21" i="3"/>
  <c r="BH21" i="3"/>
  <c r="AE22" i="3"/>
  <c r="BD23" i="3"/>
  <c r="AW33" i="3"/>
  <c r="D53" i="3"/>
  <c r="AW34" i="3" s="1"/>
  <c r="BD20" i="3"/>
  <c r="M23" i="3"/>
  <c r="L26" i="3"/>
  <c r="F28" i="3"/>
  <c r="I26" i="3" s="1"/>
  <c r="AX34" i="3"/>
  <c r="T47" i="3"/>
  <c r="AH19" i="3"/>
  <c r="BH22" i="3"/>
  <c r="BW23" i="3"/>
  <c r="BX23" i="3" s="1"/>
  <c r="BY23" i="3" s="1"/>
  <c r="BZ23" i="3" s="1"/>
  <c r="CA23" i="3" s="1"/>
  <c r="CB23" i="3" s="1"/>
  <c r="CC23" i="3" s="1"/>
  <c r="CD23" i="3" s="1"/>
  <c r="CE23" i="3" s="1"/>
  <c r="CF23" i="3" s="1"/>
  <c r="AY34" i="3"/>
  <c r="AC47" i="3"/>
  <c r="BD17" i="3"/>
  <c r="BJ20" i="3"/>
  <c r="AZ20" i="3"/>
  <c r="BF21" i="3"/>
  <c r="AX21" i="3"/>
  <c r="AU21" i="3" s="1"/>
  <c r="AV21" i="3" s="1"/>
  <c r="AZ21" i="3"/>
  <c r="BJ23" i="3"/>
  <c r="T18" i="3"/>
  <c r="S34" i="3"/>
  <c r="G17" i="3"/>
  <c r="AL47" i="3"/>
  <c r="AW17" i="3"/>
  <c r="BE17" i="3"/>
  <c r="AB18" i="3"/>
  <c r="AK21" i="3"/>
  <c r="BA21" i="3"/>
  <c r="S22" i="3"/>
  <c r="Y23" i="3"/>
  <c r="AY21" i="3"/>
  <c r="BG21" i="3"/>
  <c r="BA20" i="3"/>
  <c r="BC21" i="3"/>
  <c r="BB20" i="3"/>
  <c r="V34" i="3"/>
  <c r="E48" i="3"/>
  <c r="H48" i="3" s="1"/>
  <c r="BV18" i="2"/>
  <c r="BW18" i="2" s="1"/>
  <c r="BX18" i="2" s="1"/>
  <c r="BY18" i="2" s="1"/>
  <c r="BZ18" i="2" s="1"/>
  <c r="CA18" i="2" s="1"/>
  <c r="CB18" i="2" s="1"/>
  <c r="CC18" i="2" s="1"/>
  <c r="CD18" i="2" s="1"/>
  <c r="CE18" i="2" s="1"/>
  <c r="CF18" i="2" s="1"/>
  <c r="AP18" i="2"/>
  <c r="T47" i="2"/>
  <c r="BV13" i="2"/>
  <c r="BW13" i="2" s="1"/>
  <c r="BX13" i="2" s="1"/>
  <c r="BY13" i="2" s="1"/>
  <c r="BZ13" i="2" s="1"/>
  <c r="CA13" i="2" s="1"/>
  <c r="CB13" i="2" s="1"/>
  <c r="CC13" i="2" s="1"/>
  <c r="CD13" i="2" s="1"/>
  <c r="CE13" i="2" s="1"/>
  <c r="CF13" i="2" s="1"/>
  <c r="AZ7" i="2"/>
  <c r="AZ15" i="2" s="1"/>
  <c r="BH7" i="2"/>
  <c r="BH15" i="2" s="1"/>
  <c r="AX7" i="2"/>
  <c r="AX15" i="2" s="1"/>
  <c r="BF7" i="2"/>
  <c r="BF15" i="2" s="1"/>
  <c r="J7" i="2"/>
  <c r="J15" i="2" s="1"/>
  <c r="T25" i="2"/>
  <c r="AO12" i="2"/>
  <c r="M17" i="2"/>
  <c r="V17" i="2"/>
  <c r="AE18" i="2"/>
  <c r="J19" i="2"/>
  <c r="M20" i="2"/>
  <c r="P21" i="2"/>
  <c r="BH22" i="2"/>
  <c r="V23" i="2"/>
  <c r="AH23" i="2"/>
  <c r="P7" i="2"/>
  <c r="P15" i="2" s="1"/>
  <c r="BA7" i="2"/>
  <c r="BA15" i="2" s="1"/>
  <c r="V15" i="2"/>
  <c r="AO6" i="2"/>
  <c r="AH15" i="2"/>
  <c r="BB7" i="2"/>
  <c r="BB15" i="2" s="1"/>
  <c r="M7" i="2"/>
  <c r="M15" i="2" s="1"/>
  <c r="AO8" i="2"/>
  <c r="AQ8" i="2" s="1"/>
  <c r="Y17" i="2"/>
  <c r="BG17" i="2"/>
  <c r="G18" i="2"/>
  <c r="P20" i="2"/>
  <c r="G21" i="2"/>
  <c r="AB22" i="2"/>
  <c r="BI22" i="2"/>
  <c r="BJ18" i="2"/>
  <c r="BJ21" i="2"/>
  <c r="R44" i="2"/>
  <c r="AB17" i="2"/>
  <c r="BH17" i="2"/>
  <c r="G20" i="2"/>
  <c r="S20" i="2"/>
  <c r="BD20" i="2"/>
  <c r="J21" i="2"/>
  <c r="V21" i="2"/>
  <c r="AB23" i="2"/>
  <c r="BA23" i="2"/>
  <c r="AA44" i="2"/>
  <c r="AN17" i="2"/>
  <c r="K18" i="2"/>
  <c r="M18" i="2" s="1"/>
  <c r="Y18" i="2"/>
  <c r="K21" i="2"/>
  <c r="V22" i="2"/>
  <c r="BB23" i="2"/>
  <c r="BH23" i="2"/>
  <c r="AO10" i="2"/>
  <c r="J17" i="2"/>
  <c r="AW19" i="2"/>
  <c r="AU19" i="2" s="1"/>
  <c r="AV19" i="2" s="1"/>
  <c r="M21" i="2"/>
  <c r="W25" i="2"/>
  <c r="AO47" i="2"/>
  <c r="BI17" i="2"/>
  <c r="BH18" i="2"/>
  <c r="BJ23" i="2"/>
  <c r="BK23" i="2" s="1"/>
  <c r="BL23" i="2" s="1"/>
  <c r="BM23" i="2" s="1"/>
  <c r="BN23" i="2" s="1"/>
  <c r="BO23" i="2" s="1"/>
  <c r="BP23" i="2" s="1"/>
  <c r="AD44" i="2"/>
  <c r="BV17" i="2"/>
  <c r="BW17" i="2" s="1"/>
  <c r="BX17" i="2" s="1"/>
  <c r="BY17" i="2" s="1"/>
  <c r="BZ17" i="2" s="1"/>
  <c r="CA17" i="2" s="1"/>
  <c r="CB17" i="2" s="1"/>
  <c r="CC17" i="2" s="1"/>
  <c r="CD17" i="2" s="1"/>
  <c r="CE17" i="2" s="1"/>
  <c r="CF17" i="2" s="1"/>
  <c r="E37" i="2"/>
  <c r="BI15" i="2"/>
  <c r="BJ15" i="2" s="1"/>
  <c r="BK15" i="2" s="1"/>
  <c r="BL15" i="2" s="1"/>
  <c r="BM15" i="2" s="1"/>
  <c r="BN15" i="2" s="1"/>
  <c r="BO15" i="2" s="1"/>
  <c r="BP15" i="2" s="1"/>
  <c r="BQ15" i="2" s="1"/>
  <c r="BR15" i="2" s="1"/>
  <c r="BS15" i="2" s="1"/>
  <c r="BT15" i="2" s="1"/>
  <c r="E25" i="2"/>
  <c r="E52" i="2" s="1"/>
  <c r="F25" i="2"/>
  <c r="BU15" i="2"/>
  <c r="AP23" i="2"/>
  <c r="BV23" i="2"/>
  <c r="BW23" i="2" s="1"/>
  <c r="BX23" i="2" s="1"/>
  <c r="BY23" i="2" s="1"/>
  <c r="BZ23" i="2" s="1"/>
  <c r="CA23" i="2" s="1"/>
  <c r="CB23" i="2" s="1"/>
  <c r="CC23" i="2" s="1"/>
  <c r="CD23" i="2" s="1"/>
  <c r="CE23" i="2" s="1"/>
  <c r="CF23" i="2" s="1"/>
  <c r="AW33" i="2"/>
  <c r="D53" i="2"/>
  <c r="AW34" i="2" s="1"/>
  <c r="Y7" i="2"/>
  <c r="Y15" i="2" s="1"/>
  <c r="BV7" i="2"/>
  <c r="BW7" i="2" s="1"/>
  <c r="BX7" i="2" s="1"/>
  <c r="BY7" i="2" s="1"/>
  <c r="BZ7" i="2" s="1"/>
  <c r="CA7" i="2" s="1"/>
  <c r="CB7" i="2" s="1"/>
  <c r="CC7" i="2" s="1"/>
  <c r="CD7" i="2" s="1"/>
  <c r="CE7" i="2" s="1"/>
  <c r="CF7" i="2" s="1"/>
  <c r="BJ9" i="2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V11" i="2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BJ13" i="2"/>
  <c r="BK13" i="2" s="1"/>
  <c r="BL13" i="2" s="1"/>
  <c r="BM13" i="2" s="1"/>
  <c r="BN13" i="2" s="1"/>
  <c r="BO13" i="2" s="1"/>
  <c r="BP13" i="2" s="1"/>
  <c r="BQ13" i="2" s="1"/>
  <c r="BR13" i="2" s="1"/>
  <c r="BS13" i="2" s="1"/>
  <c r="BT13" i="2" s="1"/>
  <c r="BB17" i="2"/>
  <c r="BJ17" i="2"/>
  <c r="BK17" i="2" s="1"/>
  <c r="BL17" i="2" s="1"/>
  <c r="BM17" i="2" s="1"/>
  <c r="BN17" i="2" s="1"/>
  <c r="BO17" i="2" s="1"/>
  <c r="BP17" i="2" s="1"/>
  <c r="BQ17" i="2" s="1"/>
  <c r="BR17" i="2" s="1"/>
  <c r="BS17" i="2" s="1"/>
  <c r="BT17" i="2" s="1"/>
  <c r="BB19" i="2"/>
  <c r="BA19" i="2"/>
  <c r="AZ19" i="2"/>
  <c r="BG19" i="2"/>
  <c r="AY19" i="2"/>
  <c r="BF19" i="2"/>
  <c r="AX19" i="2"/>
  <c r="BC19" i="2"/>
  <c r="BV19" i="2"/>
  <c r="BW19" i="2" s="1"/>
  <c r="BX19" i="2" s="1"/>
  <c r="BY19" i="2" s="1"/>
  <c r="BZ19" i="2" s="1"/>
  <c r="CA19" i="2" s="1"/>
  <c r="CB19" i="2" s="1"/>
  <c r="CC19" i="2" s="1"/>
  <c r="CD19" i="2" s="1"/>
  <c r="CE19" i="2" s="1"/>
  <c r="CF19" i="2" s="1"/>
  <c r="J20" i="2"/>
  <c r="BH20" i="2"/>
  <c r="F28" i="2"/>
  <c r="AX34" i="2"/>
  <c r="I15" i="2"/>
  <c r="I25" i="2" s="1"/>
  <c r="AG15" i="2"/>
  <c r="AG25" i="2" s="1"/>
  <c r="AK17" i="2"/>
  <c r="BC17" i="2"/>
  <c r="BH19" i="2"/>
  <c r="AN19" i="2"/>
  <c r="BD19" i="2"/>
  <c r="AN20" i="2"/>
  <c r="BV21" i="2"/>
  <c r="BW21" i="2" s="1"/>
  <c r="BX21" i="2" s="1"/>
  <c r="BY21" i="2" s="1"/>
  <c r="BZ21" i="2" s="1"/>
  <c r="CA21" i="2" s="1"/>
  <c r="CB21" i="2" s="1"/>
  <c r="CC21" i="2" s="1"/>
  <c r="CD21" i="2" s="1"/>
  <c r="CE21" i="2" s="1"/>
  <c r="CF21" i="2" s="1"/>
  <c r="AE23" i="2"/>
  <c r="BA17" i="2"/>
  <c r="BJ4" i="2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S7" i="2"/>
  <c r="S15" i="2" s="1"/>
  <c r="BV10" i="2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BV14" i="2"/>
  <c r="BW14" i="2" s="1"/>
  <c r="BX14" i="2" s="1"/>
  <c r="BY14" i="2" s="1"/>
  <c r="BZ14" i="2" s="1"/>
  <c r="CA14" i="2" s="1"/>
  <c r="CB14" i="2" s="1"/>
  <c r="CC14" i="2" s="1"/>
  <c r="CD14" i="2" s="1"/>
  <c r="CE14" i="2" s="1"/>
  <c r="CF14" i="2" s="1"/>
  <c r="AC47" i="2"/>
  <c r="BD17" i="2"/>
  <c r="BE19" i="2"/>
  <c r="S21" i="2"/>
  <c r="BV22" i="2"/>
  <c r="BW22" i="2" s="1"/>
  <c r="BX22" i="2" s="1"/>
  <c r="BY22" i="2" s="1"/>
  <c r="BZ22" i="2" s="1"/>
  <c r="CA22" i="2" s="1"/>
  <c r="CB22" i="2" s="1"/>
  <c r="CC22" i="2" s="1"/>
  <c r="CD22" i="2" s="1"/>
  <c r="CE22" i="2" s="1"/>
  <c r="CF22" i="2" s="1"/>
  <c r="N18" i="2"/>
  <c r="P34" i="2"/>
  <c r="AL18" i="2"/>
  <c r="AN18" i="2" s="1"/>
  <c r="AN34" i="2"/>
  <c r="AB7" i="2"/>
  <c r="AB15" i="2" s="1"/>
  <c r="BI7" i="2"/>
  <c r="AO14" i="2"/>
  <c r="G17" i="2"/>
  <c r="AL47" i="2"/>
  <c r="AW17" i="2"/>
  <c r="AU17" i="2" s="1"/>
  <c r="AV17" i="2" s="1"/>
  <c r="BE17" i="2"/>
  <c r="AY20" i="2"/>
  <c r="AX20" i="2"/>
  <c r="AW20" i="2"/>
  <c r="AK7" i="2"/>
  <c r="AK15" i="2" s="1"/>
  <c r="L15" i="2"/>
  <c r="L25" i="2" s="1"/>
  <c r="AX17" i="2"/>
  <c r="BF17" i="2"/>
  <c r="BJ19" i="2"/>
  <c r="BK19" i="2" s="1"/>
  <c r="BL19" i="2" s="1"/>
  <c r="BM19" i="2" s="1"/>
  <c r="BN19" i="2" s="1"/>
  <c r="BO19" i="2" s="1"/>
  <c r="BP19" i="2" s="1"/>
  <c r="BQ19" i="2" s="1"/>
  <c r="BR19" i="2" s="1"/>
  <c r="BS19" i="2" s="1"/>
  <c r="BT19" i="2" s="1"/>
  <c r="BJ20" i="2"/>
  <c r="BK20" i="2" s="1"/>
  <c r="BL20" i="2" s="1"/>
  <c r="BM20" i="2" s="1"/>
  <c r="BN20" i="2" s="1"/>
  <c r="BO20" i="2" s="1"/>
  <c r="BP20" i="2" s="1"/>
  <c r="BQ20" i="2" s="1"/>
  <c r="BR20" i="2" s="1"/>
  <c r="BS20" i="2" s="1"/>
  <c r="BT20" i="2" s="1"/>
  <c r="AO20" i="2"/>
  <c r="AH20" i="2"/>
  <c r="BG20" i="2"/>
  <c r="BF20" i="2"/>
  <c r="BE20" i="2"/>
  <c r="BQ23" i="2"/>
  <c r="BR23" i="2" s="1"/>
  <c r="BS23" i="2" s="1"/>
  <c r="BT23" i="2" s="1"/>
  <c r="AT23" i="2" s="1"/>
  <c r="AT25" i="2" s="1"/>
  <c r="AT28" i="2" s="1"/>
  <c r="BV6" i="2"/>
  <c r="BW6" i="2" s="1"/>
  <c r="BX6" i="2" s="1"/>
  <c r="BY6" i="2" s="1"/>
  <c r="BZ6" i="2" s="1"/>
  <c r="CA6" i="2" s="1"/>
  <c r="CB6" i="2" s="1"/>
  <c r="CC6" i="2" s="1"/>
  <c r="CD6" i="2" s="1"/>
  <c r="CE6" i="2" s="1"/>
  <c r="CF6" i="2" s="1"/>
  <c r="AV4" i="2"/>
  <c r="AP5" i="2"/>
  <c r="AQ5" i="2" s="1"/>
  <c r="U15" i="2"/>
  <c r="U25" i="2" s="1"/>
  <c r="V25" i="2" s="1"/>
  <c r="AY17" i="2"/>
  <c r="V18" i="2"/>
  <c r="BC20" i="2"/>
  <c r="G7" i="2"/>
  <c r="G15" i="2" s="1"/>
  <c r="AE7" i="2"/>
  <c r="AE15" i="2" s="1"/>
  <c r="AZ17" i="2"/>
  <c r="AB19" i="2"/>
  <c r="BV20" i="2"/>
  <c r="BW20" i="2" s="1"/>
  <c r="BX20" i="2" s="1"/>
  <c r="BY20" i="2" s="1"/>
  <c r="BZ20" i="2" s="1"/>
  <c r="CA20" i="2" s="1"/>
  <c r="CB20" i="2" s="1"/>
  <c r="CC20" i="2" s="1"/>
  <c r="CD20" i="2" s="1"/>
  <c r="CE20" i="2" s="1"/>
  <c r="CF20" i="2" s="1"/>
  <c r="BH21" i="2"/>
  <c r="AH21" i="2"/>
  <c r="AB34" i="2"/>
  <c r="AL21" i="2"/>
  <c r="AN21" i="2" s="1"/>
  <c r="AI21" i="2"/>
  <c r="AK21" i="2" s="1"/>
  <c r="AK40" i="2"/>
  <c r="BC23" i="2"/>
  <c r="G23" i="2"/>
  <c r="BD23" i="2"/>
  <c r="AZ20" i="2"/>
  <c r="AN23" i="2"/>
  <c r="AW23" i="2"/>
  <c r="AU23" i="2" s="1"/>
  <c r="BE23" i="2"/>
  <c r="S34" i="2"/>
  <c r="BA20" i="2"/>
  <c r="AX23" i="2"/>
  <c r="BF23" i="2"/>
  <c r="BB20" i="2"/>
  <c r="AY23" i="2"/>
  <c r="BG23" i="2"/>
  <c r="V34" i="2"/>
  <c r="E48" i="2"/>
  <c r="H48" i="2" s="1"/>
  <c r="AZ23" i="2"/>
  <c r="AQ26" i="1"/>
  <c r="BB18" i="3" l="1"/>
  <c r="BD18" i="3"/>
  <c r="BA18" i="3"/>
  <c r="BE18" i="3"/>
  <c r="AE25" i="3"/>
  <c r="BF18" i="3"/>
  <c r="AQ9" i="3"/>
  <c r="J6" i="4"/>
  <c r="Z25" i="2"/>
  <c r="AB25" i="2" s="1"/>
  <c r="AB25" i="3"/>
  <c r="AO9" i="2"/>
  <c r="AQ9" i="2" s="1"/>
  <c r="AQ12" i="2"/>
  <c r="AP20" i="2"/>
  <c r="AP22" i="2"/>
  <c r="AV7" i="2"/>
  <c r="AV15" i="2" s="1"/>
  <c r="AU7" i="2"/>
  <c r="AU15" i="2" s="1"/>
  <c r="AQ8" i="3"/>
  <c r="AO19" i="2"/>
  <c r="AP19" i="2"/>
  <c r="AH25" i="2"/>
  <c r="AP17" i="2"/>
  <c r="AQ17" i="2" s="1"/>
  <c r="Y25" i="2"/>
  <c r="E25" i="3"/>
  <c r="E52" i="3" s="1"/>
  <c r="AX33" i="3" s="1"/>
  <c r="AP21" i="2"/>
  <c r="AQ21" i="3"/>
  <c r="AX18" i="3"/>
  <c r="AU18" i="3" s="1"/>
  <c r="AV18" i="3" s="1"/>
  <c r="AP14" i="2"/>
  <c r="AQ14" i="2" s="1"/>
  <c r="AP7" i="2"/>
  <c r="AO23" i="2"/>
  <c r="AQ23" i="2" s="1"/>
  <c r="AO17" i="2"/>
  <c r="BN18" i="3"/>
  <c r="BO18" i="3" s="1"/>
  <c r="BP18" i="3" s="1"/>
  <c r="BQ18" i="3" s="1"/>
  <c r="BR18" i="3" s="1"/>
  <c r="BS18" i="3" s="1"/>
  <c r="BT18" i="3" s="1"/>
  <c r="AP13" i="2"/>
  <c r="AP10" i="2"/>
  <c r="AQ10" i="2" s="1"/>
  <c r="AU20" i="2"/>
  <c r="AV20" i="2" s="1"/>
  <c r="AO47" i="3"/>
  <c r="AQ4" i="3"/>
  <c r="AO13" i="2"/>
  <c r="AO4" i="2"/>
  <c r="AQ4" i="2" s="1"/>
  <c r="AP11" i="2"/>
  <c r="AQ11" i="2" s="1"/>
  <c r="AP6" i="2"/>
  <c r="AQ6" i="2" s="1"/>
  <c r="BN15" i="3"/>
  <c r="BO15" i="3" s="1"/>
  <c r="BP15" i="3" s="1"/>
  <c r="BQ15" i="3" s="1"/>
  <c r="BR15" i="3" s="1"/>
  <c r="BS15" i="3" s="1"/>
  <c r="BT15" i="3" s="1"/>
  <c r="AY26" i="3"/>
  <c r="BW18" i="3"/>
  <c r="BX18" i="3" s="1"/>
  <c r="BY18" i="3" s="1"/>
  <c r="BZ18" i="3" s="1"/>
  <c r="CA18" i="3" s="1"/>
  <c r="CB18" i="3" s="1"/>
  <c r="CC18" i="3" s="1"/>
  <c r="CD18" i="3" s="1"/>
  <c r="CE18" i="3" s="1"/>
  <c r="CF18" i="3" s="1"/>
  <c r="AP18" i="3"/>
  <c r="AQ18" i="3" s="1"/>
  <c r="BU15" i="3"/>
  <c r="BV15" i="3" s="1"/>
  <c r="BW15" i="3" s="1"/>
  <c r="BX15" i="3" s="1"/>
  <c r="BY15" i="3" s="1"/>
  <c r="BZ15" i="3" s="1"/>
  <c r="CA15" i="3" s="1"/>
  <c r="CB15" i="3" s="1"/>
  <c r="CC15" i="3" s="1"/>
  <c r="CD15" i="3" s="1"/>
  <c r="CE15" i="3" s="1"/>
  <c r="CF15" i="3" s="1"/>
  <c r="F25" i="3"/>
  <c r="BH25" i="3" s="1"/>
  <c r="AW18" i="3"/>
  <c r="BW7" i="3"/>
  <c r="BX7" i="3" s="1"/>
  <c r="BY7" i="3" s="1"/>
  <c r="BZ7" i="3" s="1"/>
  <c r="CA7" i="3" s="1"/>
  <c r="CB7" i="3" s="1"/>
  <c r="CC7" i="3" s="1"/>
  <c r="CD7" i="3" s="1"/>
  <c r="CE7" i="3" s="1"/>
  <c r="CF7" i="3" s="1"/>
  <c r="AP7" i="3"/>
  <c r="AP15" i="3" s="1"/>
  <c r="AY18" i="3"/>
  <c r="E26" i="3"/>
  <c r="E35" i="3" s="1"/>
  <c r="AQ13" i="3"/>
  <c r="AZ18" i="3"/>
  <c r="AO15" i="3"/>
  <c r="K48" i="3"/>
  <c r="H41" i="3"/>
  <c r="AO23" i="3"/>
  <c r="AQ23" i="3" s="1"/>
  <c r="BK23" i="3"/>
  <c r="BL23" i="3" s="1"/>
  <c r="BM23" i="3" s="1"/>
  <c r="BN23" i="3" s="1"/>
  <c r="BO23" i="3" s="1"/>
  <c r="BP23" i="3" s="1"/>
  <c r="BQ23" i="3" s="1"/>
  <c r="BR23" i="3" s="1"/>
  <c r="BS23" i="3" s="1"/>
  <c r="BT23" i="3" s="1"/>
  <c r="AT23" i="3" s="1"/>
  <c r="AT25" i="3" s="1"/>
  <c r="AT28" i="3" s="1"/>
  <c r="T25" i="3"/>
  <c r="V25" i="3" s="1"/>
  <c r="V18" i="3"/>
  <c r="BK17" i="3"/>
  <c r="BL17" i="3" s="1"/>
  <c r="BM17" i="3" s="1"/>
  <c r="BN17" i="3" s="1"/>
  <c r="BO17" i="3" s="1"/>
  <c r="BP17" i="3" s="1"/>
  <c r="BQ17" i="3" s="1"/>
  <c r="BR17" i="3" s="1"/>
  <c r="BS17" i="3" s="1"/>
  <c r="BT17" i="3" s="1"/>
  <c r="AO17" i="3"/>
  <c r="AQ17" i="3" s="1"/>
  <c r="H37" i="3"/>
  <c r="G37" i="3"/>
  <c r="E43" i="3"/>
  <c r="G43" i="3" s="1"/>
  <c r="AQ6" i="3"/>
  <c r="AO20" i="3"/>
  <c r="AQ20" i="3" s="1"/>
  <c r="BK20" i="3"/>
  <c r="BL20" i="3" s="1"/>
  <c r="BM20" i="3" s="1"/>
  <c r="BN20" i="3" s="1"/>
  <c r="BO20" i="3" s="1"/>
  <c r="BP20" i="3" s="1"/>
  <c r="BQ20" i="3" s="1"/>
  <c r="BR20" i="3" s="1"/>
  <c r="BS20" i="3" s="1"/>
  <c r="BT20" i="3" s="1"/>
  <c r="AX26" i="3"/>
  <c r="I27" i="3"/>
  <c r="AX27" i="3" s="1"/>
  <c r="AU27" i="3" s="1"/>
  <c r="AV27" i="3" s="1"/>
  <c r="AP22" i="3"/>
  <c r="BW22" i="3"/>
  <c r="BX22" i="3" s="1"/>
  <c r="BY22" i="3" s="1"/>
  <c r="BZ22" i="3" s="1"/>
  <c r="CA22" i="3" s="1"/>
  <c r="CB22" i="3" s="1"/>
  <c r="CC22" i="3" s="1"/>
  <c r="CD22" i="3" s="1"/>
  <c r="CE22" i="3" s="1"/>
  <c r="CF22" i="3" s="1"/>
  <c r="BV15" i="2"/>
  <c r="BW15" i="2" s="1"/>
  <c r="BX15" i="2" s="1"/>
  <c r="BY15" i="2" s="1"/>
  <c r="BZ15" i="2" s="1"/>
  <c r="CA15" i="2" s="1"/>
  <c r="CB15" i="2" s="1"/>
  <c r="CC15" i="2" s="1"/>
  <c r="CD15" i="2" s="1"/>
  <c r="CE15" i="2" s="1"/>
  <c r="CF15" i="2" s="1"/>
  <c r="BK18" i="2"/>
  <c r="BL18" i="2" s="1"/>
  <c r="BM18" i="2" s="1"/>
  <c r="BN18" i="2" s="1"/>
  <c r="AQ19" i="2"/>
  <c r="I26" i="2"/>
  <c r="AX26" i="2" s="1"/>
  <c r="P18" i="2"/>
  <c r="BK21" i="2"/>
  <c r="BL21" i="2" s="1"/>
  <c r="BM21" i="2" s="1"/>
  <c r="BN21" i="2" s="1"/>
  <c r="K48" i="2"/>
  <c r="H41" i="2"/>
  <c r="BD18" i="2"/>
  <c r="AY18" i="2"/>
  <c r="BG18" i="2"/>
  <c r="AX18" i="2"/>
  <c r="BF18" i="2"/>
  <c r="AW18" i="2"/>
  <c r="AZ18" i="2"/>
  <c r="BE18" i="2"/>
  <c r="BC18" i="2"/>
  <c r="BB18" i="2"/>
  <c r="BA18" i="2"/>
  <c r="H37" i="2"/>
  <c r="G37" i="2"/>
  <c r="E43" i="2"/>
  <c r="G43" i="2" s="1"/>
  <c r="AX33" i="2"/>
  <c r="E26" i="2"/>
  <c r="E35" i="2" s="1"/>
  <c r="BJ7" i="2"/>
  <c r="BK7" i="2" s="1"/>
  <c r="BL7" i="2" s="1"/>
  <c r="BM7" i="2" s="1"/>
  <c r="BN7" i="2" s="1"/>
  <c r="BO7" i="2" s="1"/>
  <c r="BP7" i="2" s="1"/>
  <c r="BQ7" i="2" s="1"/>
  <c r="BR7" i="2" s="1"/>
  <c r="BS7" i="2" s="1"/>
  <c r="BT7" i="2" s="1"/>
  <c r="AO7" i="2"/>
  <c r="F26" i="2"/>
  <c r="G25" i="2"/>
  <c r="AV23" i="2"/>
  <c r="BF21" i="2"/>
  <c r="AX21" i="2"/>
  <c r="BE21" i="2"/>
  <c r="AW21" i="2"/>
  <c r="BD21" i="2"/>
  <c r="BC21" i="2"/>
  <c r="BB21" i="2"/>
  <c r="BA21" i="2"/>
  <c r="AZ21" i="2"/>
  <c r="BG21" i="2"/>
  <c r="AY21" i="2"/>
  <c r="AQ20" i="2"/>
  <c r="BH25" i="2"/>
  <c r="Z51" i="1"/>
  <c r="AQ7" i="3" l="1"/>
  <c r="AQ15" i="3" s="1"/>
  <c r="AO15" i="2"/>
  <c r="AU18" i="2"/>
  <c r="AV18" i="2" s="1"/>
  <c r="AQ7" i="2"/>
  <c r="BO18" i="2"/>
  <c r="BP18" i="2" s="1"/>
  <c r="BQ18" i="2" s="1"/>
  <c r="BR18" i="2" s="1"/>
  <c r="BS18" i="2" s="1"/>
  <c r="BT18" i="2" s="1"/>
  <c r="AO18" i="2"/>
  <c r="AQ18" i="2" s="1"/>
  <c r="AP15" i="2"/>
  <c r="AP25" i="2" s="1"/>
  <c r="AP28" i="2" s="1"/>
  <c r="AQ13" i="2"/>
  <c r="AU21" i="2"/>
  <c r="AV21" i="2" s="1"/>
  <c r="AV23" i="3"/>
  <c r="BO21" i="2"/>
  <c r="BP21" i="2" s="1"/>
  <c r="BQ21" i="2" s="1"/>
  <c r="BR21" i="2" s="1"/>
  <c r="BS21" i="2" s="1"/>
  <c r="BT21" i="2" s="1"/>
  <c r="AO21" i="2"/>
  <c r="AQ21" i="2" s="1"/>
  <c r="K41" i="3"/>
  <c r="K22" i="3" s="1"/>
  <c r="N48" i="3"/>
  <c r="Q48" i="3" s="1"/>
  <c r="T48" i="3" s="1"/>
  <c r="W48" i="3" s="1"/>
  <c r="Z48" i="3" s="1"/>
  <c r="AC48" i="3" s="1"/>
  <c r="AF48" i="3" s="1"/>
  <c r="AI48" i="3" s="1"/>
  <c r="F26" i="3"/>
  <c r="G25" i="3"/>
  <c r="J37" i="3"/>
  <c r="H43" i="3"/>
  <c r="K37" i="3"/>
  <c r="J41" i="3"/>
  <c r="H22" i="3"/>
  <c r="AP25" i="3"/>
  <c r="E36" i="3"/>
  <c r="G35" i="3"/>
  <c r="G36" i="3" s="1"/>
  <c r="J37" i="2"/>
  <c r="H43" i="2"/>
  <c r="K37" i="2"/>
  <c r="AW26" i="2"/>
  <c r="F27" i="2"/>
  <c r="AW27" i="2" s="1"/>
  <c r="G26" i="2"/>
  <c r="G35" i="2"/>
  <c r="G36" i="2" s="1"/>
  <c r="E36" i="2"/>
  <c r="J41" i="2"/>
  <c r="H22" i="2"/>
  <c r="K41" i="2"/>
  <c r="K22" i="2" s="1"/>
  <c r="N48" i="2"/>
  <c r="Q48" i="2" s="1"/>
  <c r="T48" i="2" s="1"/>
  <c r="W48" i="2" s="1"/>
  <c r="Z48" i="2" s="1"/>
  <c r="AC48" i="2" s="1"/>
  <c r="AF48" i="2" s="1"/>
  <c r="AI48" i="2" s="1"/>
  <c r="Y24" i="1"/>
  <c r="AB24" i="1"/>
  <c r="AE24" i="1"/>
  <c r="AE16" i="1"/>
  <c r="AH24" i="1"/>
  <c r="AH16" i="1"/>
  <c r="AK24" i="1"/>
  <c r="AK16" i="1"/>
  <c r="AN24" i="1"/>
  <c r="AN16" i="1"/>
  <c r="AN14" i="1"/>
  <c r="AN13" i="1"/>
  <c r="AN12" i="1"/>
  <c r="AN11" i="1"/>
  <c r="AN10" i="1"/>
  <c r="AN9" i="1"/>
  <c r="AN8" i="1"/>
  <c r="AN6" i="1"/>
  <c r="AN5" i="1"/>
  <c r="AN4" i="1"/>
  <c r="AK14" i="1"/>
  <c r="AK13" i="1"/>
  <c r="AK12" i="1"/>
  <c r="AK11" i="1"/>
  <c r="AK10" i="1"/>
  <c r="AK9" i="1"/>
  <c r="AK8" i="1"/>
  <c r="AK6" i="1"/>
  <c r="AK5" i="1"/>
  <c r="AK4" i="1"/>
  <c r="AH14" i="1"/>
  <c r="AH13" i="1"/>
  <c r="AH12" i="1"/>
  <c r="AH11" i="1"/>
  <c r="AH10" i="1"/>
  <c r="AH9" i="1"/>
  <c r="AH8" i="1"/>
  <c r="AH6" i="1"/>
  <c r="AH5" i="1"/>
  <c r="AH4" i="1"/>
  <c r="AE14" i="1"/>
  <c r="AE13" i="1"/>
  <c r="AE12" i="1"/>
  <c r="AE11" i="1"/>
  <c r="AE10" i="1"/>
  <c r="AE9" i="1"/>
  <c r="AE8" i="1"/>
  <c r="AE6" i="1"/>
  <c r="AE5" i="1"/>
  <c r="AE4" i="1"/>
  <c r="AB14" i="1"/>
  <c r="AB13" i="1"/>
  <c r="AB12" i="1"/>
  <c r="AB11" i="1"/>
  <c r="AB10" i="1"/>
  <c r="AB9" i="1"/>
  <c r="AB8" i="1"/>
  <c r="AB6" i="1"/>
  <c r="AB5" i="1"/>
  <c r="AB4" i="1"/>
  <c r="Y14" i="1"/>
  <c r="Y13" i="1"/>
  <c r="Y12" i="1"/>
  <c r="Y11" i="1"/>
  <c r="Y10" i="1"/>
  <c r="Y9" i="1"/>
  <c r="Y8" i="1"/>
  <c r="Y6" i="1"/>
  <c r="Y5" i="1"/>
  <c r="Y4" i="1"/>
  <c r="V14" i="1"/>
  <c r="V13" i="1"/>
  <c r="V12" i="1"/>
  <c r="V11" i="1"/>
  <c r="V10" i="1"/>
  <c r="V9" i="1"/>
  <c r="V8" i="1"/>
  <c r="V6" i="1"/>
  <c r="V5" i="1"/>
  <c r="V4" i="1"/>
  <c r="S14" i="1"/>
  <c r="S13" i="1"/>
  <c r="S12" i="1"/>
  <c r="S11" i="1"/>
  <c r="S10" i="1"/>
  <c r="S9" i="1"/>
  <c r="S8" i="1"/>
  <c r="S6" i="1"/>
  <c r="S5" i="1"/>
  <c r="S4" i="1"/>
  <c r="P14" i="1"/>
  <c r="P13" i="1"/>
  <c r="P12" i="1"/>
  <c r="P11" i="1"/>
  <c r="P10" i="1"/>
  <c r="P9" i="1"/>
  <c r="P8" i="1"/>
  <c r="P6" i="1"/>
  <c r="P5" i="1"/>
  <c r="P4" i="1"/>
  <c r="M14" i="1"/>
  <c r="M13" i="1"/>
  <c r="M12" i="1"/>
  <c r="M11" i="1"/>
  <c r="M10" i="1"/>
  <c r="M9" i="1"/>
  <c r="M8" i="1"/>
  <c r="M6" i="1"/>
  <c r="M5" i="1"/>
  <c r="M4" i="1"/>
  <c r="J24" i="1"/>
  <c r="J16" i="1"/>
  <c r="J14" i="1"/>
  <c r="J13" i="1"/>
  <c r="J12" i="1"/>
  <c r="J11" i="1"/>
  <c r="J10" i="1"/>
  <c r="J9" i="1"/>
  <c r="J8" i="1"/>
  <c r="J5" i="1"/>
  <c r="J6" i="1"/>
  <c r="J4" i="1"/>
  <c r="U7" i="1"/>
  <c r="AJ43" i="1"/>
  <c r="AQ15" i="2" l="1"/>
  <c r="BJ22" i="3"/>
  <c r="J22" i="3"/>
  <c r="H25" i="3"/>
  <c r="AW26" i="3"/>
  <c r="F27" i="3"/>
  <c r="AW27" i="3" s="1"/>
  <c r="G26" i="3"/>
  <c r="AL48" i="3"/>
  <c r="AL41" i="3" s="1"/>
  <c r="AN41" i="3" s="1"/>
  <c r="AN43" i="3" s="1"/>
  <c r="AI41" i="3"/>
  <c r="AP28" i="3"/>
  <c r="M22" i="3"/>
  <c r="K25" i="3"/>
  <c r="K43" i="3"/>
  <c r="N37" i="3"/>
  <c r="M37" i="3"/>
  <c r="M41" i="3"/>
  <c r="N22" i="3"/>
  <c r="M22" i="2"/>
  <c r="K25" i="2"/>
  <c r="M25" i="2" s="1"/>
  <c r="AL48" i="2"/>
  <c r="AL41" i="2" s="1"/>
  <c r="AN41" i="2" s="1"/>
  <c r="AN43" i="2" s="1"/>
  <c r="AI41" i="2"/>
  <c r="K43" i="2"/>
  <c r="N37" i="2"/>
  <c r="M37" i="2"/>
  <c r="N22" i="2"/>
  <c r="M41" i="2"/>
  <c r="J22" i="2"/>
  <c r="H25" i="2"/>
  <c r="BJ22" i="2"/>
  <c r="BK22" i="2" s="1"/>
  <c r="AR15" i="1"/>
  <c r="AT7" i="1"/>
  <c r="AV26" i="1"/>
  <c r="BU5" i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BU6" i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BU8" i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BU9" i="1"/>
  <c r="BV9" i="1" s="1"/>
  <c r="BW9" i="1" s="1"/>
  <c r="BX9" i="1" s="1"/>
  <c r="BY9" i="1" s="1"/>
  <c r="BZ9" i="1" s="1"/>
  <c r="CA9" i="1" s="1"/>
  <c r="CB9" i="1" s="1"/>
  <c r="CC9" i="1" s="1"/>
  <c r="CD9" i="1" s="1"/>
  <c r="CE9" i="1" s="1"/>
  <c r="CF9" i="1" s="1"/>
  <c r="BU10" i="1"/>
  <c r="BV10" i="1" s="1"/>
  <c r="BW10" i="1" s="1"/>
  <c r="BX10" i="1" s="1"/>
  <c r="BY10" i="1" s="1"/>
  <c r="BZ10" i="1" s="1"/>
  <c r="CA10" i="1" s="1"/>
  <c r="CB10" i="1" s="1"/>
  <c r="CC10" i="1" s="1"/>
  <c r="CD10" i="1" s="1"/>
  <c r="CE10" i="1" s="1"/>
  <c r="CF10" i="1" s="1"/>
  <c r="BU11" i="1"/>
  <c r="BV11" i="1" s="1"/>
  <c r="BW11" i="1" s="1"/>
  <c r="BX11" i="1" s="1"/>
  <c r="BY11" i="1" s="1"/>
  <c r="BZ11" i="1" s="1"/>
  <c r="CA11" i="1" s="1"/>
  <c r="CB11" i="1" s="1"/>
  <c r="CC11" i="1" s="1"/>
  <c r="CD11" i="1" s="1"/>
  <c r="CE11" i="1" s="1"/>
  <c r="CF11" i="1" s="1"/>
  <c r="BU12" i="1"/>
  <c r="BV12" i="1" s="1"/>
  <c r="BW12" i="1" s="1"/>
  <c r="BX12" i="1" s="1"/>
  <c r="BY12" i="1" s="1"/>
  <c r="BZ12" i="1" s="1"/>
  <c r="CA12" i="1" s="1"/>
  <c r="CB12" i="1" s="1"/>
  <c r="CC12" i="1" s="1"/>
  <c r="CD12" i="1" s="1"/>
  <c r="CE12" i="1" s="1"/>
  <c r="CF12" i="1" s="1"/>
  <c r="BU13" i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BU14" i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BU4" i="1"/>
  <c r="BV4" i="1" s="1"/>
  <c r="BW4" i="1" s="1"/>
  <c r="BX4" i="1" s="1"/>
  <c r="BY4" i="1" s="1"/>
  <c r="BZ4" i="1" s="1"/>
  <c r="BI5" i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I6" i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I8" i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I9" i="1"/>
  <c r="BJ9" i="1" s="1"/>
  <c r="BK9" i="1" s="1"/>
  <c r="BL9" i="1" s="1"/>
  <c r="BM9" i="1" s="1"/>
  <c r="BN9" i="1" s="1"/>
  <c r="BO9" i="1" s="1"/>
  <c r="BP9" i="1" s="1"/>
  <c r="BQ9" i="1" s="1"/>
  <c r="BR9" i="1" s="1"/>
  <c r="BS9" i="1" s="1"/>
  <c r="BT9" i="1" s="1"/>
  <c r="BI10" i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I11" i="1"/>
  <c r="BJ11" i="1" s="1"/>
  <c r="BK11" i="1" s="1"/>
  <c r="BL11" i="1" s="1"/>
  <c r="BM11" i="1" s="1"/>
  <c r="BN11" i="1" s="1"/>
  <c r="BO11" i="1" s="1"/>
  <c r="BP11" i="1" s="1"/>
  <c r="BQ11" i="1" s="1"/>
  <c r="BR11" i="1" s="1"/>
  <c r="BS11" i="1" s="1"/>
  <c r="BT11" i="1" s="1"/>
  <c r="BI12" i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I13" i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I14" i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I4" i="1"/>
  <c r="BJ4" i="1" s="1"/>
  <c r="BK4" i="1" s="1"/>
  <c r="BL4" i="1" s="1"/>
  <c r="BM4" i="1" s="1"/>
  <c r="BN4" i="1" s="1"/>
  <c r="AR5" i="1"/>
  <c r="AW5" i="1"/>
  <c r="AX5" i="1"/>
  <c r="AY5" i="1"/>
  <c r="AZ5" i="1"/>
  <c r="BA5" i="1"/>
  <c r="BB5" i="1"/>
  <c r="BC5" i="1"/>
  <c r="BD5" i="1"/>
  <c r="BE5" i="1"/>
  <c r="BF5" i="1"/>
  <c r="BG5" i="1"/>
  <c r="BH5" i="1"/>
  <c r="AR6" i="1"/>
  <c r="AW6" i="1"/>
  <c r="AX6" i="1"/>
  <c r="AY6" i="1"/>
  <c r="AZ6" i="1"/>
  <c r="BA6" i="1"/>
  <c r="BB6" i="1"/>
  <c r="BC6" i="1"/>
  <c r="BD6" i="1"/>
  <c r="BE6" i="1"/>
  <c r="BF6" i="1"/>
  <c r="BG6" i="1"/>
  <c r="BH6" i="1"/>
  <c r="AR7" i="1"/>
  <c r="AR8" i="1"/>
  <c r="AW8" i="1"/>
  <c r="AX8" i="1"/>
  <c r="AY8" i="1"/>
  <c r="AZ8" i="1"/>
  <c r="BA8" i="1"/>
  <c r="BB8" i="1"/>
  <c r="BC8" i="1"/>
  <c r="BD8" i="1"/>
  <c r="BE8" i="1"/>
  <c r="BF8" i="1"/>
  <c r="BG8" i="1"/>
  <c r="BH8" i="1"/>
  <c r="AR9" i="1"/>
  <c r="AW9" i="1"/>
  <c r="AX9" i="1"/>
  <c r="AY9" i="1"/>
  <c r="AZ9" i="1"/>
  <c r="BA9" i="1"/>
  <c r="BB9" i="1"/>
  <c r="BC9" i="1"/>
  <c r="BD9" i="1"/>
  <c r="BE9" i="1"/>
  <c r="BF9" i="1"/>
  <c r="BG9" i="1"/>
  <c r="BH9" i="1"/>
  <c r="AR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AR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AR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J25" i="3" l="1"/>
  <c r="H52" i="3"/>
  <c r="AK41" i="3"/>
  <c r="AI22" i="3"/>
  <c r="AL22" i="3"/>
  <c r="M25" i="3"/>
  <c r="K53" i="3"/>
  <c r="Q37" i="3"/>
  <c r="P37" i="3"/>
  <c r="N43" i="3"/>
  <c r="P22" i="3"/>
  <c r="N25" i="3"/>
  <c r="P25" i="3" s="1"/>
  <c r="AO22" i="3"/>
  <c r="BK22" i="3"/>
  <c r="BL22" i="3" s="1"/>
  <c r="BM22" i="3" s="1"/>
  <c r="BN22" i="3" s="1"/>
  <c r="BO22" i="3" s="1"/>
  <c r="BP22" i="3" s="1"/>
  <c r="BQ22" i="3" s="1"/>
  <c r="BR22" i="3" s="1"/>
  <c r="AL22" i="2"/>
  <c r="AK41" i="2"/>
  <c r="AI22" i="2"/>
  <c r="Q37" i="2"/>
  <c r="P37" i="2"/>
  <c r="N43" i="2"/>
  <c r="BL22" i="2"/>
  <c r="BM22" i="2" s="1"/>
  <c r="BN22" i="2" s="1"/>
  <c r="P22" i="2"/>
  <c r="N25" i="2"/>
  <c r="P25" i="2" s="1"/>
  <c r="H53" i="2"/>
  <c r="J25" i="2"/>
  <c r="H52" i="2"/>
  <c r="AO11" i="1"/>
  <c r="AU6" i="1"/>
  <c r="AV6" i="1" s="1"/>
  <c r="AU10" i="1"/>
  <c r="AV10" i="1" s="1"/>
  <c r="AU12" i="1"/>
  <c r="AV12" i="1" s="1"/>
  <c r="AU8" i="1"/>
  <c r="AV8" i="1" s="1"/>
  <c r="AU9" i="1"/>
  <c r="AV9" i="1" s="1"/>
  <c r="AU11" i="1"/>
  <c r="AV11" i="1" s="1"/>
  <c r="AU5" i="1"/>
  <c r="AV5" i="1" s="1"/>
  <c r="BO4" i="1"/>
  <c r="BP4" i="1" s="1"/>
  <c r="BQ4" i="1" s="1"/>
  <c r="BR4" i="1" s="1"/>
  <c r="BS4" i="1" s="1"/>
  <c r="BT4" i="1" s="1"/>
  <c r="CA4" i="1"/>
  <c r="CB4" i="1" s="1"/>
  <c r="CC4" i="1" s="1"/>
  <c r="CD4" i="1" s="1"/>
  <c r="CE4" i="1" s="1"/>
  <c r="CF4" i="1" s="1"/>
  <c r="AP13" i="1"/>
  <c r="AP5" i="1"/>
  <c r="AO14" i="1"/>
  <c r="AO10" i="1"/>
  <c r="AO6" i="1"/>
  <c r="AP12" i="1"/>
  <c r="AP8" i="1"/>
  <c r="AP9" i="1"/>
  <c r="AO13" i="1"/>
  <c r="AO9" i="1"/>
  <c r="AO5" i="1"/>
  <c r="AP11" i="1"/>
  <c r="AO12" i="1"/>
  <c r="AO8" i="1"/>
  <c r="AP14" i="1"/>
  <c r="AP10" i="1"/>
  <c r="AP6" i="1"/>
  <c r="BS22" i="3" l="1"/>
  <c r="BT22" i="3" s="1"/>
  <c r="BO22" i="2"/>
  <c r="BP22" i="2" s="1"/>
  <c r="BQ22" i="2" s="1"/>
  <c r="BR22" i="2" s="1"/>
  <c r="BS22" i="2" s="1"/>
  <c r="BT22" i="2" s="1"/>
  <c r="AO22" i="2"/>
  <c r="AO25" i="3"/>
  <c r="AQ22" i="3"/>
  <c r="AZ22" i="3"/>
  <c r="BF22" i="3"/>
  <c r="AX22" i="3"/>
  <c r="AU22" i="3" s="1"/>
  <c r="AN22" i="3"/>
  <c r="BE22" i="3"/>
  <c r="AW22" i="3"/>
  <c r="BA22" i="3"/>
  <c r="BC22" i="3"/>
  <c r="BB22" i="3"/>
  <c r="AY22" i="3"/>
  <c r="BD22" i="3"/>
  <c r="BG22" i="3"/>
  <c r="AL25" i="3"/>
  <c r="N53" i="3"/>
  <c r="AZ34" i="3"/>
  <c r="L28" i="3"/>
  <c r="AI25" i="3"/>
  <c r="AK25" i="3" s="1"/>
  <c r="AK22" i="3"/>
  <c r="K52" i="3"/>
  <c r="AY33" i="3"/>
  <c r="H26" i="3"/>
  <c r="T37" i="3"/>
  <c r="S37" i="3"/>
  <c r="Q43" i="3"/>
  <c r="AQ11" i="1"/>
  <c r="K52" i="2"/>
  <c r="H26" i="2"/>
  <c r="AY33" i="2"/>
  <c r="AK22" i="2"/>
  <c r="AI25" i="2"/>
  <c r="AK25" i="2" s="1"/>
  <c r="T37" i="2"/>
  <c r="S37" i="2"/>
  <c r="Q43" i="2"/>
  <c r="K53" i="2"/>
  <c r="AY34" i="2"/>
  <c r="I28" i="2"/>
  <c r="H28" i="2"/>
  <c r="AZ22" i="2"/>
  <c r="BG22" i="2"/>
  <c r="AY22" i="2"/>
  <c r="BF22" i="2"/>
  <c r="AX22" i="2"/>
  <c r="BE22" i="2"/>
  <c r="AW22" i="2"/>
  <c r="BD22" i="2"/>
  <c r="BC22" i="2"/>
  <c r="BB22" i="2"/>
  <c r="BA22" i="2"/>
  <c r="AN22" i="2"/>
  <c r="AL25" i="2"/>
  <c r="AQ10" i="1"/>
  <c r="AO4" i="1"/>
  <c r="AQ6" i="1"/>
  <c r="AQ9" i="1"/>
  <c r="AQ14" i="1"/>
  <c r="AQ8" i="1"/>
  <c r="AQ12" i="1"/>
  <c r="AQ5" i="1"/>
  <c r="AQ13" i="1"/>
  <c r="AP4" i="1"/>
  <c r="AQ4" i="1" s="1"/>
  <c r="AU22" i="2" l="1"/>
  <c r="AQ22" i="2"/>
  <c r="AO25" i="2"/>
  <c r="V37" i="3"/>
  <c r="T43" i="3"/>
  <c r="W37" i="3"/>
  <c r="H35" i="3"/>
  <c r="J26" i="3"/>
  <c r="BB25" i="3"/>
  <c r="AZ25" i="3"/>
  <c r="BG25" i="3"/>
  <c r="AY25" i="3"/>
  <c r="BC25" i="3"/>
  <c r="BF25" i="3"/>
  <c r="BE25" i="3"/>
  <c r="BD25" i="3"/>
  <c r="AX25" i="3"/>
  <c r="AW25" i="3"/>
  <c r="BA25" i="3"/>
  <c r="AN25" i="3"/>
  <c r="AV22" i="3"/>
  <c r="AU25" i="3"/>
  <c r="O26" i="3"/>
  <c r="L27" i="3"/>
  <c r="AY27" i="3" s="1"/>
  <c r="BA34" i="3"/>
  <c r="O28" i="3"/>
  <c r="R26" i="3" s="1"/>
  <c r="Q53" i="3"/>
  <c r="K26" i="3"/>
  <c r="N52" i="3"/>
  <c r="AZ33" i="3"/>
  <c r="AO28" i="3"/>
  <c r="AQ28" i="3" s="1"/>
  <c r="AQ25" i="3"/>
  <c r="V37" i="2"/>
  <c r="T43" i="2"/>
  <c r="W37" i="2"/>
  <c r="AV22" i="2"/>
  <c r="AU25" i="2"/>
  <c r="H35" i="2"/>
  <c r="J26" i="2"/>
  <c r="L26" i="2"/>
  <c r="I27" i="2"/>
  <c r="AX27" i="2" s="1"/>
  <c r="BB25" i="2"/>
  <c r="BA25" i="2"/>
  <c r="AZ25" i="2"/>
  <c r="BG25" i="2"/>
  <c r="AY25" i="2"/>
  <c r="BF25" i="2"/>
  <c r="AX25" i="2"/>
  <c r="BE25" i="2"/>
  <c r="AW25" i="2"/>
  <c r="BD25" i="2"/>
  <c r="BC25" i="2"/>
  <c r="AN25" i="2"/>
  <c r="N53" i="2"/>
  <c r="AZ34" i="2"/>
  <c r="L28" i="2"/>
  <c r="O26" i="2" s="1"/>
  <c r="K26" i="2"/>
  <c r="K35" i="2" s="1"/>
  <c r="N52" i="2"/>
  <c r="AZ33" i="2"/>
  <c r="AQ7" i="1"/>
  <c r="AQ15" i="1" s="1"/>
  <c r="AM29" i="1"/>
  <c r="AJ29" i="1"/>
  <c r="AG29" i="1"/>
  <c r="AD29" i="1"/>
  <c r="AA29" i="1"/>
  <c r="X29" i="1"/>
  <c r="U29" i="1"/>
  <c r="R29" i="1"/>
  <c r="O29" i="1"/>
  <c r="L29" i="1"/>
  <c r="I29" i="1"/>
  <c r="F29" i="1"/>
  <c r="AL34" i="1"/>
  <c r="AI34" i="1"/>
  <c r="AF34" i="1"/>
  <c r="AC34" i="1"/>
  <c r="Z34" i="1"/>
  <c r="W34" i="1"/>
  <c r="Q34" i="1"/>
  <c r="N34" i="1"/>
  <c r="K34" i="1"/>
  <c r="H34" i="1"/>
  <c r="T34" i="1"/>
  <c r="AM7" i="1"/>
  <c r="AM15" i="1" s="1"/>
  <c r="AL7" i="1"/>
  <c r="AJ7" i="1"/>
  <c r="AJ15" i="1" s="1"/>
  <c r="AI7" i="1"/>
  <c r="AG7" i="1"/>
  <c r="AF7" i="1"/>
  <c r="AF15" i="1" s="1"/>
  <c r="AD7" i="1"/>
  <c r="AC7" i="1"/>
  <c r="AC15" i="1" s="1"/>
  <c r="AA7" i="1"/>
  <c r="AA15" i="1" s="1"/>
  <c r="Z7" i="1"/>
  <c r="Z15" i="1" s="1"/>
  <c r="X7" i="1"/>
  <c r="W7" i="1"/>
  <c r="W15" i="1" s="1"/>
  <c r="U15" i="1"/>
  <c r="T7" i="1"/>
  <c r="R7" i="1"/>
  <c r="Q7" i="1"/>
  <c r="Q15" i="1" s="1"/>
  <c r="O7" i="1"/>
  <c r="N7" i="1"/>
  <c r="N15" i="1" s="1"/>
  <c r="L7" i="1"/>
  <c r="K7" i="1"/>
  <c r="K15" i="1" s="1"/>
  <c r="I7" i="1"/>
  <c r="H7" i="1"/>
  <c r="H15" i="1" s="1"/>
  <c r="F7" i="1"/>
  <c r="E7" i="1"/>
  <c r="AR4" i="1"/>
  <c r="AW4" i="1"/>
  <c r="AW7" i="1" s="1"/>
  <c r="AX4" i="1"/>
  <c r="AX7" i="1" s="1"/>
  <c r="AY4" i="1"/>
  <c r="AY7" i="1" s="1"/>
  <c r="AZ4" i="1"/>
  <c r="AZ7" i="1" s="1"/>
  <c r="BA4" i="1"/>
  <c r="BA7" i="1" s="1"/>
  <c r="BB4" i="1"/>
  <c r="BC4" i="1"/>
  <c r="BC7" i="1" s="1"/>
  <c r="BD4" i="1"/>
  <c r="BD7" i="1" s="1"/>
  <c r="BE4" i="1"/>
  <c r="BE7" i="1" s="1"/>
  <c r="BF4" i="1"/>
  <c r="BF7" i="1" s="1"/>
  <c r="BG4" i="1"/>
  <c r="BG7" i="1" s="1"/>
  <c r="BH4" i="1"/>
  <c r="BH7" i="1" s="1"/>
  <c r="AO28" i="2" l="1"/>
  <c r="AQ28" i="2" s="1"/>
  <c r="AQ25" i="2"/>
  <c r="BB34" i="3"/>
  <c r="R28" i="3"/>
  <c r="U26" i="3" s="1"/>
  <c r="T53" i="3"/>
  <c r="BA26" i="3"/>
  <c r="W43" i="3"/>
  <c r="Z37" i="3"/>
  <c r="Y37" i="3"/>
  <c r="AZ26" i="3"/>
  <c r="O27" i="3"/>
  <c r="AZ27" i="3" s="1"/>
  <c r="N26" i="3"/>
  <c r="N35" i="3" s="1"/>
  <c r="Q52" i="3"/>
  <c r="BA33" i="3"/>
  <c r="H36" i="3"/>
  <c r="J35" i="3"/>
  <c r="J36" i="3" s="1"/>
  <c r="AU28" i="3"/>
  <c r="AV28" i="3" s="1"/>
  <c r="AV25" i="3"/>
  <c r="K35" i="3"/>
  <c r="M26" i="3"/>
  <c r="AV25" i="2"/>
  <c r="BA34" i="2"/>
  <c r="O28" i="2"/>
  <c r="R26" i="2" s="1"/>
  <c r="Q53" i="2"/>
  <c r="W43" i="2"/>
  <c r="Z37" i="2"/>
  <c r="Y37" i="2"/>
  <c r="AY26" i="2"/>
  <c r="M26" i="2"/>
  <c r="L27" i="2"/>
  <c r="AY27" i="2" s="1"/>
  <c r="N26" i="2"/>
  <c r="N35" i="2" s="1"/>
  <c r="Q52" i="2"/>
  <c r="BA33" i="2"/>
  <c r="AZ26" i="2"/>
  <c r="J35" i="2"/>
  <c r="J36" i="2" s="1"/>
  <c r="H36" i="2"/>
  <c r="M35" i="2"/>
  <c r="M36" i="2" s="1"/>
  <c r="K36" i="2"/>
  <c r="G7" i="1"/>
  <c r="T15" i="1"/>
  <c r="V7" i="1"/>
  <c r="V15" i="1" s="1"/>
  <c r="I15" i="1"/>
  <c r="J7" i="1"/>
  <c r="J15" i="1" s="1"/>
  <c r="AL15" i="1"/>
  <c r="AN7" i="1"/>
  <c r="AN15" i="1" s="1"/>
  <c r="AI15" i="1"/>
  <c r="AK7" i="1"/>
  <c r="AK15" i="1" s="1"/>
  <c r="AG15" i="1"/>
  <c r="AH7" i="1"/>
  <c r="AH15" i="1" s="1"/>
  <c r="AD15" i="1"/>
  <c r="AE7" i="1"/>
  <c r="AE15" i="1" s="1"/>
  <c r="L15" i="1"/>
  <c r="M7" i="1"/>
  <c r="M15" i="1" s="1"/>
  <c r="O15" i="1"/>
  <c r="P7" i="1"/>
  <c r="P15" i="1" s="1"/>
  <c r="R15" i="1"/>
  <c r="S7" i="1"/>
  <c r="S15" i="1" s="1"/>
  <c r="X15" i="1"/>
  <c r="Y7" i="1"/>
  <c r="Y15" i="1" s="1"/>
  <c r="AB7" i="1"/>
  <c r="AB15" i="1" s="1"/>
  <c r="E15" i="1"/>
  <c r="BI15" i="1" s="1"/>
  <c r="BJ15" i="1" s="1"/>
  <c r="BK15" i="1" s="1"/>
  <c r="BL15" i="1" s="1"/>
  <c r="BM15" i="1" s="1"/>
  <c r="BI7" i="1"/>
  <c r="BJ7" i="1" s="1"/>
  <c r="BK7" i="1" s="1"/>
  <c r="BL7" i="1" s="1"/>
  <c r="BM7" i="1" s="1"/>
  <c r="BN7" i="1" s="1"/>
  <c r="AU4" i="1"/>
  <c r="AU7" i="1" s="1"/>
  <c r="BB7" i="1"/>
  <c r="BU7" i="1"/>
  <c r="BV7" i="1" s="1"/>
  <c r="BW7" i="1" s="1"/>
  <c r="BX7" i="1" s="1"/>
  <c r="BY7" i="1" s="1"/>
  <c r="BZ7" i="1" s="1"/>
  <c r="F15" i="1"/>
  <c r="BU15" i="1" s="1"/>
  <c r="BV15" i="1" s="1"/>
  <c r="AM23" i="1"/>
  <c r="AJ23" i="1"/>
  <c r="AG23" i="1"/>
  <c r="AD23" i="1"/>
  <c r="AA23" i="1"/>
  <c r="X23" i="1"/>
  <c r="U23" i="1"/>
  <c r="R23" i="1"/>
  <c r="AR19" i="1"/>
  <c r="AL23" i="1"/>
  <c r="AL20" i="1"/>
  <c r="AL19" i="1"/>
  <c r="AL17" i="1"/>
  <c r="AI23" i="1"/>
  <c r="AI20" i="1"/>
  <c r="AI19" i="1"/>
  <c r="AI17" i="1"/>
  <c r="AF23" i="1"/>
  <c r="AF20" i="1"/>
  <c r="AF19" i="1"/>
  <c r="AF17" i="1"/>
  <c r="AC23" i="1"/>
  <c r="AC20" i="1"/>
  <c r="AC19" i="1"/>
  <c r="AC17" i="1"/>
  <c r="Z23" i="1"/>
  <c r="Z20" i="1"/>
  <c r="Z19" i="1"/>
  <c r="Z17" i="1"/>
  <c r="W23" i="1"/>
  <c r="W20" i="1"/>
  <c r="W19" i="1"/>
  <c r="W17" i="1"/>
  <c r="T23" i="1"/>
  <c r="T20" i="1"/>
  <c r="T19" i="1"/>
  <c r="T17" i="1"/>
  <c r="Q23" i="1"/>
  <c r="Q20" i="1"/>
  <c r="Q19" i="1"/>
  <c r="Q17" i="1"/>
  <c r="N23" i="1"/>
  <c r="N20" i="1"/>
  <c r="N19" i="1"/>
  <c r="N17" i="1"/>
  <c r="K23" i="1"/>
  <c r="K20" i="1"/>
  <c r="K19" i="1"/>
  <c r="K17" i="1"/>
  <c r="H23" i="1"/>
  <c r="H20" i="1"/>
  <c r="H19" i="1"/>
  <c r="H17" i="1"/>
  <c r="I17" i="1"/>
  <c r="I18" i="1"/>
  <c r="I19" i="1"/>
  <c r="I21" i="1"/>
  <c r="I22" i="1"/>
  <c r="I23" i="1"/>
  <c r="M16" i="1"/>
  <c r="L17" i="1"/>
  <c r="L18" i="1"/>
  <c r="L19" i="1"/>
  <c r="L21" i="1"/>
  <c r="L22" i="1"/>
  <c r="L23" i="1"/>
  <c r="P16" i="1"/>
  <c r="O17" i="1"/>
  <c r="O18" i="1"/>
  <c r="O19" i="1"/>
  <c r="O21" i="1"/>
  <c r="O22" i="1"/>
  <c r="O23" i="1"/>
  <c r="E23" i="1"/>
  <c r="BI23" i="1" s="1"/>
  <c r="E20" i="1"/>
  <c r="BI20" i="1" s="1"/>
  <c r="E19" i="1"/>
  <c r="AN42" i="1"/>
  <c r="AN38" i="1"/>
  <c r="AN33" i="1"/>
  <c r="AK42" i="1"/>
  <c r="AK38" i="1"/>
  <c r="AK33" i="1"/>
  <c r="AH42" i="1"/>
  <c r="AH38" i="1"/>
  <c r="AH33" i="1"/>
  <c r="AE42" i="1"/>
  <c r="AE38" i="1"/>
  <c r="AE33" i="1"/>
  <c r="AB42" i="1"/>
  <c r="AB38" i="1"/>
  <c r="AB33" i="1"/>
  <c r="Y42" i="1"/>
  <c r="Y38" i="1"/>
  <c r="Y33" i="1"/>
  <c r="V42" i="1"/>
  <c r="V38" i="1"/>
  <c r="V33" i="1"/>
  <c r="S42" i="1"/>
  <c r="S38" i="1"/>
  <c r="S33" i="1"/>
  <c r="P42" i="1"/>
  <c r="P38" i="1"/>
  <c r="P33" i="1"/>
  <c r="M42" i="1"/>
  <c r="M38" i="1"/>
  <c r="M33" i="1"/>
  <c r="J42" i="1"/>
  <c r="J38" i="1"/>
  <c r="J33" i="1"/>
  <c r="G33" i="1"/>
  <c r="AN40" i="1"/>
  <c r="AK40" i="1"/>
  <c r="AK34" i="1"/>
  <c r="AH40" i="1"/>
  <c r="AH34" i="1"/>
  <c r="AE40" i="1"/>
  <c r="AE34" i="1"/>
  <c r="AB40" i="1"/>
  <c r="AB34" i="1"/>
  <c r="Y40" i="1"/>
  <c r="Y34" i="1"/>
  <c r="V40" i="1"/>
  <c r="V34" i="1"/>
  <c r="S40" i="1"/>
  <c r="S34" i="1"/>
  <c r="P40" i="1"/>
  <c r="K40" i="1"/>
  <c r="M40" i="1" s="1"/>
  <c r="M34" i="1"/>
  <c r="H40" i="1"/>
  <c r="J40" i="1" s="1"/>
  <c r="J34" i="1"/>
  <c r="I36" i="1"/>
  <c r="G42" i="1"/>
  <c r="G38" i="1"/>
  <c r="G40" i="1"/>
  <c r="G34" i="1"/>
  <c r="AM36" i="1"/>
  <c r="AG36" i="1"/>
  <c r="AD36" i="1"/>
  <c r="AA36" i="1"/>
  <c r="X36" i="1"/>
  <c r="U36" i="1"/>
  <c r="R36" i="1"/>
  <c r="O36" i="1"/>
  <c r="L36" i="1"/>
  <c r="R27" i="3" l="1"/>
  <c r="BA27" i="3" s="1"/>
  <c r="T52" i="3"/>
  <c r="BB33" i="3"/>
  <c r="Q26" i="3"/>
  <c r="AC37" i="3"/>
  <c r="AB37" i="3"/>
  <c r="Z43" i="3"/>
  <c r="P35" i="3"/>
  <c r="P36" i="3" s="1"/>
  <c r="N36" i="3"/>
  <c r="U28" i="3"/>
  <c r="X26" i="3" s="1"/>
  <c r="W53" i="3"/>
  <c r="BC34" i="3"/>
  <c r="P26" i="3"/>
  <c r="U27" i="3"/>
  <c r="BB27" i="3" s="1"/>
  <c r="BB26" i="3"/>
  <c r="M35" i="3"/>
  <c r="M36" i="3" s="1"/>
  <c r="K36" i="3"/>
  <c r="BN15" i="1"/>
  <c r="BO15" i="1" s="1"/>
  <c r="BP15" i="1" s="1"/>
  <c r="BQ15" i="1" s="1"/>
  <c r="BR15" i="1" s="1"/>
  <c r="BS15" i="1" s="1"/>
  <c r="BT15" i="1" s="1"/>
  <c r="O27" i="2"/>
  <c r="AZ27" i="2" s="1"/>
  <c r="AC37" i="2"/>
  <c r="AB37" i="2"/>
  <c r="Z43" i="2"/>
  <c r="BA26" i="2"/>
  <c r="P35" i="2"/>
  <c r="P36" i="2" s="1"/>
  <c r="N36" i="2"/>
  <c r="T52" i="2"/>
  <c r="BB33" i="2"/>
  <c r="Q26" i="2"/>
  <c r="Q35" i="2" s="1"/>
  <c r="BB34" i="2"/>
  <c r="R28" i="2"/>
  <c r="U26" i="2" s="1"/>
  <c r="T53" i="2"/>
  <c r="P26" i="2"/>
  <c r="J19" i="1"/>
  <c r="BI19" i="1"/>
  <c r="BJ19" i="1" s="1"/>
  <c r="BK19" i="1" s="1"/>
  <c r="BL19" i="1" s="1"/>
  <c r="BM19" i="1" s="1"/>
  <c r="BN19" i="1" s="1"/>
  <c r="BO19" i="1" s="1"/>
  <c r="BP19" i="1" s="1"/>
  <c r="BQ19" i="1" s="1"/>
  <c r="BR19" i="1" s="1"/>
  <c r="E37" i="1"/>
  <c r="H37" i="1" s="1"/>
  <c r="J23" i="1"/>
  <c r="AN23" i="1"/>
  <c r="AH23" i="1"/>
  <c r="AB23" i="1"/>
  <c r="P23" i="1"/>
  <c r="BW15" i="1"/>
  <c r="BX15" i="1" s="1"/>
  <c r="BY15" i="1" s="1"/>
  <c r="BZ15" i="1" s="1"/>
  <c r="CA15" i="1" s="1"/>
  <c r="CB15" i="1" s="1"/>
  <c r="CC15" i="1" s="1"/>
  <c r="CD15" i="1" s="1"/>
  <c r="CE15" i="1" s="1"/>
  <c r="CF15" i="1" s="1"/>
  <c r="J17" i="1"/>
  <c r="Y23" i="1"/>
  <c r="AE23" i="1"/>
  <c r="M17" i="1"/>
  <c r="AK23" i="1"/>
  <c r="AV4" i="1"/>
  <c r="AV7" i="1" s="1"/>
  <c r="CA7" i="1"/>
  <c r="CB7" i="1" s="1"/>
  <c r="CC7" i="1" s="1"/>
  <c r="CD7" i="1" s="1"/>
  <c r="CE7" i="1" s="1"/>
  <c r="CF7" i="1" s="1"/>
  <c r="BJ23" i="1"/>
  <c r="BK23" i="1" s="1"/>
  <c r="BL23" i="1" s="1"/>
  <c r="BM23" i="1" s="1"/>
  <c r="BN23" i="1" s="1"/>
  <c r="M23" i="1"/>
  <c r="BJ20" i="1"/>
  <c r="BK20" i="1" s="1"/>
  <c r="BL20" i="1" s="1"/>
  <c r="BM20" i="1" s="1"/>
  <c r="BN20" i="1" s="1"/>
  <c r="BO20" i="1" s="1"/>
  <c r="BP20" i="1" s="1"/>
  <c r="BQ20" i="1" s="1"/>
  <c r="BR20" i="1" s="1"/>
  <c r="BS20" i="1" s="1"/>
  <c r="BT20" i="1" s="1"/>
  <c r="BO7" i="1"/>
  <c r="BP7" i="1" s="1"/>
  <c r="BQ7" i="1" s="1"/>
  <c r="BR7" i="1" s="1"/>
  <c r="BS7" i="1" s="1"/>
  <c r="BT7" i="1" s="1"/>
  <c r="AT15" i="1" s="1"/>
  <c r="AO7" i="1"/>
  <c r="AO15" i="1" s="1"/>
  <c r="Q18" i="1"/>
  <c r="AL18" i="1"/>
  <c r="P17" i="1"/>
  <c r="H18" i="1"/>
  <c r="J18" i="1" s="1"/>
  <c r="N18" i="1"/>
  <c r="P18" i="1" s="1"/>
  <c r="K21" i="1"/>
  <c r="M21" i="1" s="1"/>
  <c r="Q21" i="1"/>
  <c r="W21" i="1"/>
  <c r="AC21" i="1"/>
  <c r="AI21" i="1"/>
  <c r="T18" i="1"/>
  <c r="Z18" i="1"/>
  <c r="P34" i="1"/>
  <c r="K18" i="1"/>
  <c r="M18" i="1" s="1"/>
  <c r="W18" i="1"/>
  <c r="AC18" i="1"/>
  <c r="AI18" i="1"/>
  <c r="AN34" i="1"/>
  <c r="AF18" i="1"/>
  <c r="H21" i="1"/>
  <c r="J21" i="1" s="1"/>
  <c r="N21" i="1"/>
  <c r="P21" i="1" s="1"/>
  <c r="T21" i="1"/>
  <c r="Z21" i="1"/>
  <c r="AF21" i="1"/>
  <c r="AL21" i="1"/>
  <c r="E21" i="1"/>
  <c r="BI21" i="1" s="1"/>
  <c r="Q35" i="3" l="1"/>
  <c r="S26" i="3"/>
  <c r="X28" i="3"/>
  <c r="AA26" i="3" s="1"/>
  <c r="Z53" i="3"/>
  <c r="BD34" i="3"/>
  <c r="AF37" i="3"/>
  <c r="AE37" i="3"/>
  <c r="AC43" i="3"/>
  <c r="BC26" i="3"/>
  <c r="W52" i="3"/>
  <c r="T26" i="3"/>
  <c r="BC33" i="3"/>
  <c r="S26" i="2"/>
  <c r="BB26" i="2"/>
  <c r="S35" i="2"/>
  <c r="S36" i="2" s="1"/>
  <c r="Q36" i="2"/>
  <c r="U28" i="2"/>
  <c r="X26" i="2" s="1"/>
  <c r="W53" i="2"/>
  <c r="BC34" i="2"/>
  <c r="R27" i="2"/>
  <c r="BA27" i="2" s="1"/>
  <c r="W52" i="2"/>
  <c r="T26" i="2"/>
  <c r="T35" i="2" s="1"/>
  <c r="BC33" i="2"/>
  <c r="AF37" i="2"/>
  <c r="AE37" i="2"/>
  <c r="AC43" i="2"/>
  <c r="AO20" i="1"/>
  <c r="BS19" i="1"/>
  <c r="BT19" i="1" s="1"/>
  <c r="AO19" i="1"/>
  <c r="AP7" i="1"/>
  <c r="AP15" i="1" s="1"/>
  <c r="BO23" i="1"/>
  <c r="BP23" i="1" s="1"/>
  <c r="BQ23" i="1" s="1"/>
  <c r="BR23" i="1" s="1"/>
  <c r="BS23" i="1" s="1"/>
  <c r="BT23" i="1" s="1"/>
  <c r="AT23" i="1" s="1"/>
  <c r="AT25" i="1" s="1"/>
  <c r="AT28" i="1" s="1"/>
  <c r="BJ21" i="1"/>
  <c r="BK21" i="1" s="1"/>
  <c r="BL21" i="1" s="1"/>
  <c r="BM21" i="1" s="1"/>
  <c r="BN21" i="1" s="1"/>
  <c r="F30" i="1"/>
  <c r="I30" i="1"/>
  <c r="L30" i="1"/>
  <c r="O30" i="1"/>
  <c r="R30" i="1"/>
  <c r="U30" i="1"/>
  <c r="X30" i="1"/>
  <c r="AA30" i="1"/>
  <c r="AD30" i="1"/>
  <c r="AG30" i="1"/>
  <c r="AJ30" i="1"/>
  <c r="AM30" i="1"/>
  <c r="AM19" i="1"/>
  <c r="AN19" i="1" s="1"/>
  <c r="AJ19" i="1"/>
  <c r="AK19" i="1" s="1"/>
  <c r="AG19" i="1"/>
  <c r="AH19" i="1" s="1"/>
  <c r="AD19" i="1"/>
  <c r="AE19" i="1" s="1"/>
  <c r="AA19" i="1"/>
  <c r="AB19" i="1" s="1"/>
  <c r="X19" i="1"/>
  <c r="Y19" i="1" s="1"/>
  <c r="U19" i="1"/>
  <c r="R19" i="1"/>
  <c r="F19" i="1"/>
  <c r="BU19" i="1" s="1"/>
  <c r="BV19" i="1" s="1"/>
  <c r="BW19" i="1" s="1"/>
  <c r="BX19" i="1" s="1"/>
  <c r="D28" i="1"/>
  <c r="AL51" i="1"/>
  <c r="AI51" i="1"/>
  <c r="AF51" i="1"/>
  <c r="AC51" i="1"/>
  <c r="W51" i="1"/>
  <c r="T51" i="1"/>
  <c r="Q51" i="1"/>
  <c r="N51" i="1"/>
  <c r="K51" i="1"/>
  <c r="H51" i="1"/>
  <c r="E51" i="1"/>
  <c r="D51" i="1"/>
  <c r="D48" i="1"/>
  <c r="F23" i="1"/>
  <c r="BU23" i="1" s="1"/>
  <c r="BV23" i="1" s="1"/>
  <c r="BW23" i="1" s="1"/>
  <c r="BX23" i="1" s="1"/>
  <c r="BY23" i="1" s="1"/>
  <c r="BZ23" i="1" s="1"/>
  <c r="AM22" i="1"/>
  <c r="AJ22" i="1"/>
  <c r="AG22" i="1"/>
  <c r="AD22" i="1"/>
  <c r="AA22" i="1"/>
  <c r="X22" i="1"/>
  <c r="U22" i="1"/>
  <c r="R22" i="1"/>
  <c r="F22" i="1"/>
  <c r="BU22" i="1" s="1"/>
  <c r="BV22" i="1" s="1"/>
  <c r="BW22" i="1" s="1"/>
  <c r="BX22" i="1" s="1"/>
  <c r="AM21" i="1"/>
  <c r="AN21" i="1" s="1"/>
  <c r="AJ21" i="1"/>
  <c r="AK21" i="1" s="1"/>
  <c r="AG21" i="1"/>
  <c r="AH21" i="1" s="1"/>
  <c r="AD21" i="1"/>
  <c r="AE21" i="1" s="1"/>
  <c r="AA21" i="1"/>
  <c r="X21" i="1"/>
  <c r="Y21" i="1" s="1"/>
  <c r="U21" i="1"/>
  <c r="R21" i="1"/>
  <c r="F21" i="1"/>
  <c r="BU21" i="1" s="1"/>
  <c r="BV21" i="1" s="1"/>
  <c r="BW21" i="1" s="1"/>
  <c r="BX21" i="1" s="1"/>
  <c r="AM18" i="1"/>
  <c r="AN18" i="1" s="1"/>
  <c r="AJ18" i="1"/>
  <c r="AK18" i="1" s="1"/>
  <c r="AG18" i="1"/>
  <c r="AH18" i="1" s="1"/>
  <c r="AD18" i="1"/>
  <c r="AE18" i="1" s="1"/>
  <c r="AA18" i="1"/>
  <c r="X18" i="1"/>
  <c r="Y18" i="1" s="1"/>
  <c r="U18" i="1"/>
  <c r="R18" i="1"/>
  <c r="F18" i="1"/>
  <c r="BU18" i="1" s="1"/>
  <c r="BV18" i="1" s="1"/>
  <c r="BW18" i="1" s="1"/>
  <c r="BX18" i="1" s="1"/>
  <c r="AM17" i="1"/>
  <c r="AN17" i="1" s="1"/>
  <c r="AJ17" i="1"/>
  <c r="AK17" i="1" s="1"/>
  <c r="AG17" i="1"/>
  <c r="AH17" i="1" s="1"/>
  <c r="AD17" i="1"/>
  <c r="AE17" i="1" s="1"/>
  <c r="AA17" i="1"/>
  <c r="AB17" i="1" s="1"/>
  <c r="X17" i="1"/>
  <c r="Y17" i="1" s="1"/>
  <c r="U17" i="1"/>
  <c r="R17" i="1"/>
  <c r="F17" i="1"/>
  <c r="BU17" i="1" s="1"/>
  <c r="BV17" i="1" s="1"/>
  <c r="BW17" i="1" s="1"/>
  <c r="BX17" i="1" s="1"/>
  <c r="D43" i="1"/>
  <c r="F36" i="1"/>
  <c r="D36" i="1"/>
  <c r="BY17" i="1" l="1"/>
  <c r="BZ17" i="1" s="1"/>
  <c r="BD26" i="3"/>
  <c r="AH37" i="3"/>
  <c r="AF43" i="3"/>
  <c r="AI37" i="3"/>
  <c r="T35" i="3"/>
  <c r="V26" i="3"/>
  <c r="Z52" i="3"/>
  <c r="BD33" i="3"/>
  <c r="W26" i="3"/>
  <c r="AA28" i="3"/>
  <c r="AD26" i="3" s="1"/>
  <c r="AC53" i="3"/>
  <c r="BE34" i="3"/>
  <c r="X27" i="3"/>
  <c r="BC27" i="3" s="1"/>
  <c r="S35" i="3"/>
  <c r="S36" i="3" s="1"/>
  <c r="Q36" i="3"/>
  <c r="X28" i="2"/>
  <c r="AA26" i="2" s="1"/>
  <c r="Z53" i="2"/>
  <c r="BD34" i="2"/>
  <c r="AH37" i="2"/>
  <c r="AF43" i="2"/>
  <c r="AI37" i="2"/>
  <c r="Z52" i="2"/>
  <c r="BD33" i="2"/>
  <c r="W26" i="2"/>
  <c r="W35" i="2" s="1"/>
  <c r="U27" i="2"/>
  <c r="BB27" i="2" s="1"/>
  <c r="AU27" i="2" s="1"/>
  <c r="X27" i="2"/>
  <c r="BC27" i="2" s="1"/>
  <c r="BC26" i="2"/>
  <c r="V35" i="2"/>
  <c r="V36" i="2" s="1"/>
  <c r="T36" i="2"/>
  <c r="V26" i="2"/>
  <c r="AO23" i="1"/>
  <c r="BY22" i="1"/>
  <c r="BZ22" i="1" s="1"/>
  <c r="CA22" i="1" s="1"/>
  <c r="CB22" i="1" s="1"/>
  <c r="CC22" i="1" s="1"/>
  <c r="CD22" i="1" s="1"/>
  <c r="CE22" i="1" s="1"/>
  <c r="CF22" i="1" s="1"/>
  <c r="AB21" i="1"/>
  <c r="AB18" i="1"/>
  <c r="CA23" i="1"/>
  <c r="CB23" i="1" s="1"/>
  <c r="CC23" i="1" s="1"/>
  <c r="CD23" i="1" s="1"/>
  <c r="CE23" i="1" s="1"/>
  <c r="CF23" i="1" s="1"/>
  <c r="BY18" i="1"/>
  <c r="BZ18" i="1" s="1"/>
  <c r="BY19" i="1"/>
  <c r="BZ19" i="1" s="1"/>
  <c r="CA17" i="1"/>
  <c r="CB17" i="1" s="1"/>
  <c r="CC17" i="1" s="1"/>
  <c r="CD17" i="1" s="1"/>
  <c r="CE17" i="1" s="1"/>
  <c r="CF17" i="1" s="1"/>
  <c r="BY21" i="1"/>
  <c r="BZ21" i="1" s="1"/>
  <c r="CA21" i="1" s="1"/>
  <c r="CB21" i="1" s="1"/>
  <c r="BO21" i="1"/>
  <c r="BP21" i="1" s="1"/>
  <c r="BQ21" i="1" s="1"/>
  <c r="BR21" i="1" s="1"/>
  <c r="BS21" i="1" s="1"/>
  <c r="BT21" i="1" s="1"/>
  <c r="BB19" i="1"/>
  <c r="G19" i="1"/>
  <c r="AY19" i="1"/>
  <c r="AZ19" i="1"/>
  <c r="AX19" i="1"/>
  <c r="AW19" i="1"/>
  <c r="BD19" i="1"/>
  <c r="BH19" i="1"/>
  <c r="BA19" i="1"/>
  <c r="BE19" i="1"/>
  <c r="BF19" i="1"/>
  <c r="BC19" i="1"/>
  <c r="BG19" i="1"/>
  <c r="G39" i="1"/>
  <c r="F43" i="1"/>
  <c r="F20" i="1"/>
  <c r="G21" i="1"/>
  <c r="AR23" i="1"/>
  <c r="AR20" i="1"/>
  <c r="V35" i="3" l="1"/>
  <c r="V36" i="3" s="1"/>
  <c r="T36" i="3"/>
  <c r="AI43" i="3"/>
  <c r="AL37" i="3"/>
  <c r="AK37" i="3"/>
  <c r="AF53" i="3"/>
  <c r="BF34" i="3"/>
  <c r="AD28" i="3"/>
  <c r="AG26" i="3" s="1"/>
  <c r="BE26" i="3"/>
  <c r="W35" i="3"/>
  <c r="Y26" i="3"/>
  <c r="AC52" i="3"/>
  <c r="BE33" i="3"/>
  <c r="Z26" i="3"/>
  <c r="AA27" i="3"/>
  <c r="BD27" i="3" s="1"/>
  <c r="AV27" i="2"/>
  <c r="AU28" i="2"/>
  <c r="AV28" i="2" s="1"/>
  <c r="Y26" i="2"/>
  <c r="AI43" i="2"/>
  <c r="AL37" i="2"/>
  <c r="AK37" i="2"/>
  <c r="AA28" i="2"/>
  <c r="AD26" i="2" s="1"/>
  <c r="AC53" i="2"/>
  <c r="BE34" i="2"/>
  <c r="AC52" i="2"/>
  <c r="BE33" i="2"/>
  <c r="Z26" i="2"/>
  <c r="Z35" i="2" s="1"/>
  <c r="Y35" i="2"/>
  <c r="Y36" i="2" s="1"/>
  <c r="W36" i="2"/>
  <c r="BD26" i="2"/>
  <c r="AO21" i="1"/>
  <c r="AP17" i="1"/>
  <c r="CC21" i="1"/>
  <c r="CD21" i="1" s="1"/>
  <c r="CE21" i="1" s="1"/>
  <c r="CF21" i="1" s="1"/>
  <c r="AP23" i="1"/>
  <c r="AQ23" i="1" s="1"/>
  <c r="AP22" i="1"/>
  <c r="AU19" i="1"/>
  <c r="AV19" i="1" s="1"/>
  <c r="AW20" i="1"/>
  <c r="BU20" i="1"/>
  <c r="CA18" i="1"/>
  <c r="CB18" i="1" s="1"/>
  <c r="CC18" i="1" s="1"/>
  <c r="CD18" i="1" s="1"/>
  <c r="CE18" i="1" s="1"/>
  <c r="CF18" i="1" s="1"/>
  <c r="CA19" i="1"/>
  <c r="CB19" i="1" s="1"/>
  <c r="CC19" i="1" s="1"/>
  <c r="CD19" i="1" s="1"/>
  <c r="CE19" i="1" s="1"/>
  <c r="CF19" i="1" s="1"/>
  <c r="I20" i="1"/>
  <c r="J39" i="1"/>
  <c r="I43" i="1"/>
  <c r="I44" i="1" s="1"/>
  <c r="G20" i="1"/>
  <c r="E28" i="1"/>
  <c r="V21" i="1"/>
  <c r="S21" i="1"/>
  <c r="AB16" i="1"/>
  <c r="Y16" i="1"/>
  <c r="V16" i="1"/>
  <c r="S16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R14" i="1"/>
  <c r="D52" i="1"/>
  <c r="K47" i="1"/>
  <c r="E17" i="1"/>
  <c r="BI17" i="1" s="1"/>
  <c r="BJ17" i="1" s="1"/>
  <c r="BK17" i="1" s="1"/>
  <c r="BL17" i="1" s="1"/>
  <c r="BM17" i="1" s="1"/>
  <c r="BN17" i="1" s="1"/>
  <c r="AR18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R21" i="1"/>
  <c r="BF26" i="3" l="1"/>
  <c r="BF33" i="3"/>
  <c r="AF52" i="3"/>
  <c r="AC26" i="3"/>
  <c r="Y35" i="3"/>
  <c r="Y36" i="3" s="1"/>
  <c r="W36" i="3"/>
  <c r="AD27" i="3"/>
  <c r="BE27" i="3" s="1"/>
  <c r="Z35" i="3"/>
  <c r="AB26" i="3"/>
  <c r="AI53" i="3"/>
  <c r="BG34" i="3"/>
  <c r="AG28" i="3"/>
  <c r="AJ26" i="3" s="1"/>
  <c r="AN37" i="3"/>
  <c r="AL43" i="3"/>
  <c r="AB26" i="2"/>
  <c r="AA27" i="2"/>
  <c r="BD27" i="2" s="1"/>
  <c r="AF53" i="2"/>
  <c r="BF34" i="2"/>
  <c r="AD28" i="2"/>
  <c r="AG26" i="2" s="1"/>
  <c r="BF33" i="2"/>
  <c r="AC26" i="2"/>
  <c r="AC35" i="2" s="1"/>
  <c r="AF52" i="2"/>
  <c r="AN37" i="2"/>
  <c r="AL43" i="2"/>
  <c r="BE26" i="2"/>
  <c r="AB35" i="2"/>
  <c r="AB36" i="2" s="1"/>
  <c r="Z36" i="2"/>
  <c r="BV20" i="1"/>
  <c r="J20" i="1"/>
  <c r="AP21" i="1"/>
  <c r="AQ21" i="1" s="1"/>
  <c r="AP19" i="1"/>
  <c r="AQ19" i="1" s="1"/>
  <c r="AP18" i="1"/>
  <c r="BO17" i="1"/>
  <c r="BP17" i="1" s="1"/>
  <c r="BQ17" i="1" s="1"/>
  <c r="BR17" i="1" s="1"/>
  <c r="BS17" i="1" s="1"/>
  <c r="BT17" i="1" s="1"/>
  <c r="AO17" i="1"/>
  <c r="AQ17" i="1" s="1"/>
  <c r="AX20" i="1"/>
  <c r="L20" i="1"/>
  <c r="O20" i="1"/>
  <c r="M39" i="1"/>
  <c r="L43" i="1"/>
  <c r="L44" i="1" s="1"/>
  <c r="I25" i="1"/>
  <c r="V18" i="1"/>
  <c r="D53" i="1"/>
  <c r="AW34" i="1" s="1"/>
  <c r="S18" i="1"/>
  <c r="BG18" i="1"/>
  <c r="E18" i="1"/>
  <c r="AW33" i="1"/>
  <c r="V17" i="1"/>
  <c r="AU21" i="1"/>
  <c r="S17" i="1"/>
  <c r="AU14" i="1"/>
  <c r="AV14" i="1" s="1"/>
  <c r="BH18" i="1"/>
  <c r="AC35" i="3" l="1"/>
  <c r="AE26" i="3"/>
  <c r="AI52" i="3"/>
  <c r="BG33" i="3"/>
  <c r="AF26" i="3"/>
  <c r="AB35" i="3"/>
  <c r="AB36" i="3" s="1"/>
  <c r="Z36" i="3"/>
  <c r="BG26" i="3"/>
  <c r="AL53" i="3"/>
  <c r="BH34" i="3"/>
  <c r="AJ28" i="3"/>
  <c r="AM26" i="3" s="1"/>
  <c r="AG27" i="3"/>
  <c r="BF27" i="3" s="1"/>
  <c r="AI52" i="2"/>
  <c r="AF26" i="2"/>
  <c r="AF35" i="2" s="1"/>
  <c r="BG33" i="2"/>
  <c r="AE35" i="2"/>
  <c r="AE36" i="2" s="1"/>
  <c r="AC36" i="2"/>
  <c r="AE26" i="2"/>
  <c r="BF26" i="2"/>
  <c r="AD27" i="2"/>
  <c r="BE27" i="2" s="1"/>
  <c r="AI53" i="2"/>
  <c r="BG34" i="2"/>
  <c r="AG28" i="2"/>
  <c r="AJ26" i="2" s="1"/>
  <c r="BW20" i="1"/>
  <c r="BX20" i="1" s="1"/>
  <c r="AV21" i="1"/>
  <c r="G18" i="1"/>
  <c r="BI18" i="1"/>
  <c r="BJ18" i="1" s="1"/>
  <c r="BK18" i="1" s="1"/>
  <c r="BL18" i="1" s="1"/>
  <c r="BM18" i="1" s="1"/>
  <c r="BN18" i="1" s="1"/>
  <c r="P20" i="1"/>
  <c r="AZ20" i="1"/>
  <c r="O25" i="1"/>
  <c r="M20" i="1"/>
  <c r="AY20" i="1"/>
  <c r="P39" i="1"/>
  <c r="O43" i="1"/>
  <c r="O44" i="1" s="1"/>
  <c r="L25" i="1"/>
  <c r="BE18" i="1"/>
  <c r="BA18" i="1"/>
  <c r="AY18" i="1"/>
  <c r="BD18" i="1"/>
  <c r="BF18" i="1"/>
  <c r="AX18" i="1"/>
  <c r="AZ18" i="1"/>
  <c r="BB18" i="1"/>
  <c r="AW18" i="1"/>
  <c r="BC18" i="1"/>
  <c r="BH26" i="3" l="1"/>
  <c r="AI26" i="3"/>
  <c r="AL52" i="3"/>
  <c r="BH33" i="3"/>
  <c r="AJ27" i="3"/>
  <c r="BG27" i="3" s="1"/>
  <c r="AF35" i="3"/>
  <c r="AH26" i="3"/>
  <c r="BI34" i="3"/>
  <c r="AM28" i="3"/>
  <c r="AM27" i="3" s="1"/>
  <c r="BH27" i="3" s="1"/>
  <c r="AE35" i="3"/>
  <c r="AE36" i="3" s="1"/>
  <c r="AC36" i="3"/>
  <c r="AH26" i="2"/>
  <c r="BG26" i="2"/>
  <c r="AL53" i="2"/>
  <c r="BH34" i="2"/>
  <c r="AJ28" i="2"/>
  <c r="AM26" i="2" s="1"/>
  <c r="AH35" i="2"/>
  <c r="AH36" i="2" s="1"/>
  <c r="AF36" i="2"/>
  <c r="AG27" i="2"/>
  <c r="BF27" i="2" s="1"/>
  <c r="AI26" i="2"/>
  <c r="AI35" i="2" s="1"/>
  <c r="AL52" i="2"/>
  <c r="BH33" i="2"/>
  <c r="BO18" i="1"/>
  <c r="BP18" i="1" s="1"/>
  <c r="BQ18" i="1" s="1"/>
  <c r="BR18" i="1" s="1"/>
  <c r="BS18" i="1" s="1"/>
  <c r="BT18" i="1" s="1"/>
  <c r="S39" i="1"/>
  <c r="U20" i="1"/>
  <c r="R43" i="1"/>
  <c r="R44" i="1" s="1"/>
  <c r="R20" i="1"/>
  <c r="BY20" i="1" s="1"/>
  <c r="AU18" i="1"/>
  <c r="AV18" i="1" s="1"/>
  <c r="AF36" i="3" l="1"/>
  <c r="AH35" i="3"/>
  <c r="AH36" i="3" s="1"/>
  <c r="AI35" i="3"/>
  <c r="AK26" i="3"/>
  <c r="AL26" i="3"/>
  <c r="BI33" i="3"/>
  <c r="BH26" i="2"/>
  <c r="BI34" i="2"/>
  <c r="AM28" i="2"/>
  <c r="AM27" i="2" s="1"/>
  <c r="BH27" i="2" s="1"/>
  <c r="AL26" i="2"/>
  <c r="AL35" i="2" s="1"/>
  <c r="BI33" i="2"/>
  <c r="AJ27" i="2"/>
  <c r="BG27" i="2" s="1"/>
  <c r="AK35" i="2"/>
  <c r="AK36" i="2" s="1"/>
  <c r="AI36" i="2"/>
  <c r="AK26" i="2"/>
  <c r="AO18" i="1"/>
  <c r="AQ18" i="1" s="1"/>
  <c r="BZ20" i="1"/>
  <c r="U25" i="1"/>
  <c r="BB20" i="1"/>
  <c r="R25" i="1"/>
  <c r="BA20" i="1"/>
  <c r="V39" i="1"/>
  <c r="U43" i="1"/>
  <c r="U44" i="1" s="1"/>
  <c r="S20" i="1"/>
  <c r="V20" i="1"/>
  <c r="X20" i="1"/>
  <c r="S23" i="1"/>
  <c r="AL35" i="3" l="1"/>
  <c r="AN26" i="3"/>
  <c r="AK35" i="3"/>
  <c r="AK36" i="3" s="1"/>
  <c r="AI36" i="3"/>
  <c r="AN35" i="2"/>
  <c r="AN36" i="2" s="1"/>
  <c r="AL36" i="2"/>
  <c r="AN26" i="2"/>
  <c r="CA20" i="1"/>
  <c r="Y20" i="1"/>
  <c r="X43" i="1"/>
  <c r="X44" i="1" s="1"/>
  <c r="X25" i="1"/>
  <c r="BC20" i="1"/>
  <c r="Y39" i="1"/>
  <c r="V23" i="1"/>
  <c r="BH22" i="1"/>
  <c r="AR22" i="1"/>
  <c r="BH13" i="1"/>
  <c r="BH15" i="1" s="1"/>
  <c r="BG13" i="1"/>
  <c r="BG15" i="1" s="1"/>
  <c r="BF13" i="1"/>
  <c r="BF15" i="1" s="1"/>
  <c r="AR13" i="1"/>
  <c r="G15" i="1"/>
  <c r="AN35" i="3" l="1"/>
  <c r="AN36" i="3" s="1"/>
  <c r="AL36" i="3"/>
  <c r="AA43" i="1"/>
  <c r="AA44" i="1" s="1"/>
  <c r="AB39" i="1"/>
  <c r="AA20" i="1"/>
  <c r="BD13" i="1"/>
  <c r="BD15" i="1" s="1"/>
  <c r="AW13" i="1"/>
  <c r="AW15" i="1" s="1"/>
  <c r="AY13" i="1"/>
  <c r="AY15" i="1" s="1"/>
  <c r="BA13" i="1"/>
  <c r="BA15" i="1" s="1"/>
  <c r="BC13" i="1"/>
  <c r="BC15" i="1" s="1"/>
  <c r="BE13" i="1"/>
  <c r="BE15" i="1" s="1"/>
  <c r="AX13" i="1"/>
  <c r="AX15" i="1" s="1"/>
  <c r="AZ13" i="1"/>
  <c r="AZ15" i="1" s="1"/>
  <c r="BB13" i="1"/>
  <c r="BB15" i="1" s="1"/>
  <c r="AD20" i="1" l="1"/>
  <c r="AE20" i="1" s="1"/>
  <c r="AD43" i="1"/>
  <c r="AD44" i="1" s="1"/>
  <c r="AB20" i="1"/>
  <c r="AA25" i="1"/>
  <c r="CB20" i="1"/>
  <c r="CC20" i="1" s="1"/>
  <c r="BD20" i="1"/>
  <c r="AD25" i="1"/>
  <c r="BE20" i="1"/>
  <c r="AE39" i="1"/>
  <c r="AU13" i="1"/>
  <c r="AV13" i="1" s="1"/>
  <c r="AG20" i="1" l="1"/>
  <c r="AH20" i="1" s="1"/>
  <c r="AG43" i="1"/>
  <c r="AG44" i="1" s="1"/>
  <c r="AV15" i="1"/>
  <c r="AU15" i="1"/>
  <c r="AG25" i="1"/>
  <c r="BF20" i="1"/>
  <c r="AU20" i="1" s="1"/>
  <c r="AV20" i="1" s="1"/>
  <c r="AH39" i="1"/>
  <c r="AJ20" i="1"/>
  <c r="AL45" i="1"/>
  <c r="AI45" i="1"/>
  <c r="AF45" i="1"/>
  <c r="AC45" i="1"/>
  <c r="Z45" i="1"/>
  <c r="W45" i="1"/>
  <c r="T45" i="1"/>
  <c r="Q45" i="1"/>
  <c r="N45" i="1"/>
  <c r="K45" i="1"/>
  <c r="H45" i="1"/>
  <c r="E45" i="1"/>
  <c r="CD20" i="1" l="1"/>
  <c r="AP20" i="1" s="1"/>
  <c r="AQ20" i="1" s="1"/>
  <c r="AK20" i="1"/>
  <c r="AJ25" i="1"/>
  <c r="BG20" i="1"/>
  <c r="AJ44" i="1"/>
  <c r="AK39" i="1"/>
  <c r="CE20" i="1" l="1"/>
  <c r="AN39" i="1"/>
  <c r="AM43" i="1"/>
  <c r="AM44" i="1" s="1"/>
  <c r="AM20" i="1"/>
  <c r="AN20" i="1" s="1"/>
  <c r="G17" i="1"/>
  <c r="G16" i="1"/>
  <c r="AL46" i="1"/>
  <c r="AI46" i="1"/>
  <c r="AF46" i="1"/>
  <c r="AC46" i="1"/>
  <c r="Z46" i="1"/>
  <c r="W46" i="1"/>
  <c r="T46" i="1"/>
  <c r="Q46" i="1"/>
  <c r="N46" i="1"/>
  <c r="K46" i="1"/>
  <c r="H46" i="1"/>
  <c r="E46" i="1"/>
  <c r="F25" i="1"/>
  <c r="F26" i="1" s="1"/>
  <c r="AO27" i="1"/>
  <c r="AQ27" i="1" s="1"/>
  <c r="AR27" i="1"/>
  <c r="AR24" i="1"/>
  <c r="AR17" i="1"/>
  <c r="BH24" i="1"/>
  <c r="BH17" i="1"/>
  <c r="BG24" i="1"/>
  <c r="BG17" i="1"/>
  <c r="BF24" i="1"/>
  <c r="BF17" i="1"/>
  <c r="BE24" i="1"/>
  <c r="BE17" i="1"/>
  <c r="BD24" i="1"/>
  <c r="BD17" i="1"/>
  <c r="BC24" i="1"/>
  <c r="BC17" i="1"/>
  <c r="BB24" i="1"/>
  <c r="BB17" i="1"/>
  <c r="BA24" i="1"/>
  <c r="BA17" i="1"/>
  <c r="AZ24" i="1"/>
  <c r="AZ17" i="1"/>
  <c r="AY24" i="1"/>
  <c r="AY17" i="1"/>
  <c r="AX24" i="1"/>
  <c r="AX17" i="1"/>
  <c r="AW24" i="1"/>
  <c r="AW17" i="1"/>
  <c r="AO24" i="1"/>
  <c r="AP24" i="1"/>
  <c r="AO16" i="1"/>
  <c r="AY1" i="1"/>
  <c r="AP25" i="1" l="1"/>
  <c r="AP28" i="1" s="1"/>
  <c r="AQ24" i="1"/>
  <c r="BH20" i="1"/>
  <c r="CF20" i="1"/>
  <c r="G37" i="1"/>
  <c r="AM25" i="1"/>
  <c r="AU17" i="1"/>
  <c r="AO47" i="1"/>
  <c r="AC47" i="1"/>
  <c r="E48" i="1"/>
  <c r="E22" i="1" s="1"/>
  <c r="BI22" i="1" s="1"/>
  <c r="T47" i="1"/>
  <c r="AU24" i="1"/>
  <c r="AV24" i="1" s="1"/>
  <c r="AL47" i="1"/>
  <c r="AV17" i="1" l="1"/>
  <c r="K37" i="1"/>
  <c r="J37" i="1"/>
  <c r="E43" i="1"/>
  <c r="G43" i="1" s="1"/>
  <c r="G41" i="1"/>
  <c r="G22" i="1"/>
  <c r="AW26" i="1"/>
  <c r="H48" i="1"/>
  <c r="H41" i="1" s="1"/>
  <c r="H22" i="1" s="1"/>
  <c r="BJ22" i="1" l="1"/>
  <c r="J22" i="1"/>
  <c r="N37" i="1"/>
  <c r="M37" i="1"/>
  <c r="H43" i="1"/>
  <c r="J41" i="1"/>
  <c r="BH25" i="1"/>
  <c r="K48" i="1"/>
  <c r="K41" i="1" s="1"/>
  <c r="K22" i="1" s="1"/>
  <c r="BK22" i="1" s="1"/>
  <c r="P37" i="1" l="1"/>
  <c r="Q37" i="1"/>
  <c r="M22" i="1"/>
  <c r="K43" i="1"/>
  <c r="M41" i="1"/>
  <c r="N48" i="1"/>
  <c r="N22" i="1" s="1"/>
  <c r="N25" i="1" s="1"/>
  <c r="BL22" i="1" l="1"/>
  <c r="T37" i="1"/>
  <c r="S37" i="1"/>
  <c r="P22" i="1"/>
  <c r="H25" i="1"/>
  <c r="J25" i="1" s="1"/>
  <c r="N43" i="1"/>
  <c r="P41" i="1"/>
  <c r="K25" i="1"/>
  <c r="Q48" i="1"/>
  <c r="Q22" i="1" s="1"/>
  <c r="Q25" i="1" s="1"/>
  <c r="BM22" i="1" l="1"/>
  <c r="W37" i="1"/>
  <c r="V37" i="1"/>
  <c r="Q43" i="1"/>
  <c r="S41" i="1"/>
  <c r="M25" i="1"/>
  <c r="T48" i="1"/>
  <c r="Z37" i="1" l="1"/>
  <c r="Y37" i="1"/>
  <c r="P25" i="1"/>
  <c r="T22" i="1"/>
  <c r="T25" i="1" s="1"/>
  <c r="S22" i="1"/>
  <c r="W48" i="1"/>
  <c r="BN22" i="1" l="1"/>
  <c r="AB37" i="1"/>
  <c r="AC37" i="1"/>
  <c r="V41" i="1"/>
  <c r="S25" i="1"/>
  <c r="W22" i="1"/>
  <c r="T43" i="1"/>
  <c r="Z48" i="1"/>
  <c r="W25" i="1" l="1"/>
  <c r="Y25" i="1" s="1"/>
  <c r="Y22" i="1"/>
  <c r="BO22" i="1"/>
  <c r="AE37" i="1"/>
  <c r="AF37" i="1"/>
  <c r="AI37" i="1" s="1"/>
  <c r="Y41" i="1"/>
  <c r="Z22" i="1"/>
  <c r="W43" i="1"/>
  <c r="V22" i="1"/>
  <c r="AC48" i="1"/>
  <c r="Z25" i="1" l="1"/>
  <c r="AB25" i="1" s="1"/>
  <c r="AB22" i="1"/>
  <c r="BP22" i="1"/>
  <c r="AH37" i="1"/>
  <c r="AB41" i="1"/>
  <c r="AC22" i="1"/>
  <c r="Z43" i="1"/>
  <c r="V25" i="1"/>
  <c r="AF48" i="1"/>
  <c r="AC25" i="1" l="1"/>
  <c r="AE25" i="1" s="1"/>
  <c r="AE22" i="1"/>
  <c r="BQ22" i="1"/>
  <c r="AL37" i="1"/>
  <c r="AN37" i="1" s="1"/>
  <c r="AK37" i="1"/>
  <c r="AE41" i="1"/>
  <c r="AF22" i="1"/>
  <c r="AC43" i="1"/>
  <c r="AI48" i="1"/>
  <c r="AF25" i="1" l="1"/>
  <c r="AH25" i="1" s="1"/>
  <c r="AH22" i="1"/>
  <c r="BR22" i="1"/>
  <c r="AO22" i="1" s="1"/>
  <c r="AH41" i="1"/>
  <c r="AI41" i="1"/>
  <c r="AI22" i="1" s="1"/>
  <c r="AF43" i="1"/>
  <c r="AL48" i="1"/>
  <c r="AO25" i="1" l="1"/>
  <c r="AQ22" i="1"/>
  <c r="AI25" i="1"/>
  <c r="AK25" i="1" s="1"/>
  <c r="AK22" i="1"/>
  <c r="BS22" i="1"/>
  <c r="AK41" i="1"/>
  <c r="AL41" i="1"/>
  <c r="AL22" i="1" s="1"/>
  <c r="BF22" i="1" s="1"/>
  <c r="AI43" i="1"/>
  <c r="AO28" i="1" l="1"/>
  <c r="AQ28" i="1" s="1"/>
  <c r="AQ25" i="1"/>
  <c r="AL25" i="1"/>
  <c r="AN25" i="1" s="1"/>
  <c r="AN22" i="1"/>
  <c r="BT22" i="1"/>
  <c r="AN41" i="1"/>
  <c r="AN43" i="1" s="1"/>
  <c r="BB22" i="1"/>
  <c r="AL43" i="1"/>
  <c r="BD22" i="1" l="1"/>
  <c r="AW22" i="1"/>
  <c r="BA22" i="1"/>
  <c r="BG22" i="1"/>
  <c r="AZ22" i="1"/>
  <c r="AX25" i="1"/>
  <c r="AX22" i="1"/>
  <c r="BE22" i="1"/>
  <c r="BC22" i="1"/>
  <c r="AY22" i="1"/>
  <c r="AU22" i="1" l="1"/>
  <c r="AV22" i="1" s="1"/>
  <c r="AZ25" i="1"/>
  <c r="BA25" i="1"/>
  <c r="BE25" i="1"/>
  <c r="BD25" i="1"/>
  <c r="AY25" i="1"/>
  <c r="BG25" i="1"/>
  <c r="BC25" i="1"/>
  <c r="AW25" i="1"/>
  <c r="BF25" i="1"/>
  <c r="BB25" i="1"/>
  <c r="E53" i="1" l="1"/>
  <c r="F28" i="1" l="1"/>
  <c r="H53" i="1"/>
  <c r="AX34" i="1"/>
  <c r="F44" i="1"/>
  <c r="H28" i="1" l="1"/>
  <c r="K53" i="1"/>
  <c r="I28" i="1"/>
  <c r="L26" i="1" s="1"/>
  <c r="AY34" i="1"/>
  <c r="BC23" i="1"/>
  <c r="BB23" i="1"/>
  <c r="AZ23" i="1"/>
  <c r="AX23" i="1"/>
  <c r="BA23" i="1"/>
  <c r="BG23" i="1"/>
  <c r="G23" i="1"/>
  <c r="AW23" i="1"/>
  <c r="F27" i="1"/>
  <c r="AW27" i="1" s="1"/>
  <c r="I26" i="1"/>
  <c r="BH23" i="1"/>
  <c r="BF23" i="1"/>
  <c r="BE23" i="1"/>
  <c r="BD23" i="1"/>
  <c r="AY23" i="1"/>
  <c r="AU23" i="1" l="1"/>
  <c r="AV23" i="1" s="1"/>
  <c r="AY26" i="1"/>
  <c r="N53" i="1"/>
  <c r="AZ34" i="1"/>
  <c r="L28" i="1"/>
  <c r="O26" i="1" s="1"/>
  <c r="AX26" i="1"/>
  <c r="I27" i="1"/>
  <c r="AX27" i="1" s="1"/>
  <c r="E25" i="1"/>
  <c r="AU25" i="1" l="1"/>
  <c r="AZ26" i="1"/>
  <c r="L27" i="1"/>
  <c r="AY27" i="1" s="1"/>
  <c r="Q53" i="1"/>
  <c r="O28" i="1"/>
  <c r="R26" i="1" s="1"/>
  <c r="BA34" i="1"/>
  <c r="G25" i="1"/>
  <c r="E52" i="1"/>
  <c r="AV25" i="1" l="1"/>
  <c r="BB34" i="1"/>
  <c r="R28" i="1"/>
  <c r="U26" i="1" s="1"/>
  <c r="T53" i="1"/>
  <c r="BA26" i="1"/>
  <c r="O27" i="1"/>
  <c r="AZ27" i="1" s="1"/>
  <c r="AX33" i="1"/>
  <c r="H52" i="1"/>
  <c r="E26" i="1"/>
  <c r="E35" i="1" s="1"/>
  <c r="R27" i="1" l="1"/>
  <c r="BA27" i="1" s="1"/>
  <c r="BC34" i="1"/>
  <c r="U28" i="1"/>
  <c r="X26" i="1" s="1"/>
  <c r="W53" i="1"/>
  <c r="BB26" i="1"/>
  <c r="G26" i="1"/>
  <c r="H26" i="1"/>
  <c r="J26" i="1" s="1"/>
  <c r="K52" i="1"/>
  <c r="AY33" i="1"/>
  <c r="U27" i="1" l="1"/>
  <c r="BB27" i="1" s="1"/>
  <c r="BD34" i="1"/>
  <c r="X28" i="1"/>
  <c r="AA26" i="1" s="1"/>
  <c r="Z53" i="1"/>
  <c r="AA28" i="1" s="1"/>
  <c r="AD26" i="1" s="1"/>
  <c r="BC26" i="1"/>
  <c r="K26" i="1"/>
  <c r="AZ33" i="1"/>
  <c r="N52" i="1"/>
  <c r="H35" i="1"/>
  <c r="E36" i="1"/>
  <c r="G35" i="1"/>
  <c r="G36" i="1" s="1"/>
  <c r="AA27" i="1" l="1"/>
  <c r="X27" i="1"/>
  <c r="BC27" i="1" s="1"/>
  <c r="AC53" i="1"/>
  <c r="BE34" i="1"/>
  <c r="BD26" i="1"/>
  <c r="N26" i="1"/>
  <c r="Q52" i="1"/>
  <c r="BA33" i="1"/>
  <c r="H36" i="1"/>
  <c r="J35" i="1"/>
  <c r="J36" i="1" s="1"/>
  <c r="K35" i="1"/>
  <c r="M26" i="1"/>
  <c r="BD27" i="1" l="1"/>
  <c r="BF34" i="1"/>
  <c r="AF53" i="1"/>
  <c r="AD28" i="1"/>
  <c r="AG26" i="1" s="1"/>
  <c r="BE26" i="1"/>
  <c r="BB33" i="1"/>
  <c r="T52" i="1"/>
  <c r="Q26" i="1"/>
  <c r="K36" i="1"/>
  <c r="M35" i="1"/>
  <c r="M36" i="1" s="1"/>
  <c r="N35" i="1"/>
  <c r="P26" i="1"/>
  <c r="BF26" i="1" l="1"/>
  <c r="BG34" i="1"/>
  <c r="AG28" i="1"/>
  <c r="AJ26" i="1" s="1"/>
  <c r="AI53" i="1"/>
  <c r="AD27" i="1"/>
  <c r="BE27" i="1" s="1"/>
  <c r="Q35" i="1"/>
  <c r="S26" i="1"/>
  <c r="N36" i="1"/>
  <c r="P35" i="1"/>
  <c r="P36" i="1" s="1"/>
  <c r="T26" i="1"/>
  <c r="W52" i="1"/>
  <c r="BC33" i="1"/>
  <c r="BG26" i="1" l="1"/>
  <c r="AG27" i="1"/>
  <c r="BF27" i="1" s="1"/>
  <c r="AU27" i="1" s="1"/>
  <c r="AL53" i="1"/>
  <c r="BH34" i="1"/>
  <c r="AJ28" i="1"/>
  <c r="AJ27" i="1" s="1"/>
  <c r="W26" i="1"/>
  <c r="Y26" i="1" s="1"/>
  <c r="BD33" i="1"/>
  <c r="Z52" i="1"/>
  <c r="T35" i="1"/>
  <c r="V26" i="1"/>
  <c r="Q36" i="1"/>
  <c r="S35" i="1"/>
  <c r="S36" i="1" s="1"/>
  <c r="AM26" i="1" l="1"/>
  <c r="BH26" i="1" s="1"/>
  <c r="BG27" i="1"/>
  <c r="AV27" i="1"/>
  <c r="AU28" i="1"/>
  <c r="AV28" i="1" s="1"/>
  <c r="BI34" i="1"/>
  <c r="AM28" i="1"/>
  <c r="T36" i="1"/>
  <c r="V35" i="1"/>
  <c r="V36" i="1" s="1"/>
  <c r="Z26" i="1"/>
  <c r="AB26" i="1" s="1"/>
  <c r="AC52" i="1"/>
  <c r="BE33" i="1"/>
  <c r="W35" i="1"/>
  <c r="AM27" i="1" l="1"/>
  <c r="BH27" i="1" s="1"/>
  <c r="BF33" i="1"/>
  <c r="AF52" i="1"/>
  <c r="AC26" i="1"/>
  <c r="AE26" i="1" s="1"/>
  <c r="Z35" i="1"/>
  <c r="W36" i="1"/>
  <c r="Y35" i="1"/>
  <c r="Y36" i="1" s="1"/>
  <c r="AF26" i="1" l="1"/>
  <c r="AH26" i="1" s="1"/>
  <c r="BG33" i="1"/>
  <c r="AI52" i="1"/>
  <c r="Z36" i="1"/>
  <c r="AB35" i="1"/>
  <c r="AB36" i="1" s="1"/>
  <c r="AC35" i="1"/>
  <c r="AI26" i="1" l="1"/>
  <c r="AK26" i="1" s="1"/>
  <c r="BH33" i="1"/>
  <c r="AL52" i="1"/>
  <c r="AC36" i="1"/>
  <c r="AE35" i="1"/>
  <c r="AE36" i="1" s="1"/>
  <c r="AF35" i="1"/>
  <c r="AL26" i="1" l="1"/>
  <c r="AN26" i="1" s="1"/>
  <c r="BI33" i="1"/>
  <c r="AF36" i="1"/>
  <c r="AH35" i="1"/>
  <c r="AH36" i="1" s="1"/>
  <c r="AI35" i="1"/>
  <c r="AI36" i="1" l="1"/>
  <c r="AK35" i="1"/>
  <c r="AK36" i="1" s="1"/>
  <c r="AL35" i="1"/>
  <c r="AN35" i="1" l="1"/>
  <c r="AN36" i="1" s="1"/>
  <c r="AL36" i="1"/>
  <c r="L6" i="4" l="1"/>
  <c r="M6" i="4"/>
  <c r="K7" i="4" s="1"/>
  <c r="J7" i="4" l="1"/>
  <c r="L7" i="4" s="1"/>
  <c r="M7" i="4" l="1"/>
  <c r="K8" i="4" s="1"/>
  <c r="J8" i="4" l="1"/>
  <c r="L8" i="4" s="1"/>
  <c r="M8" i="4" l="1"/>
  <c r="K9" i="4" s="1"/>
  <c r="J9" i="4" s="1"/>
  <c r="L9" i="4" s="1"/>
  <c r="M9" i="4" l="1"/>
  <c r="K10" i="4" s="1"/>
  <c r="J10" i="4" l="1"/>
  <c r="L10" i="4" s="1"/>
  <c r="M10" i="4" l="1"/>
  <c r="K11" i="4" s="1"/>
  <c r="J11" i="4" s="1"/>
  <c r="L11" i="4" s="1"/>
  <c r="M11" i="4" l="1"/>
  <c r="K12" i="4" s="1"/>
  <c r="J12" i="4" l="1"/>
  <c r="L12" i="4" s="1"/>
  <c r="M12" i="4" l="1"/>
  <c r="K13" i="4" s="1"/>
  <c r="J13" i="4" s="1"/>
  <c r="L13" i="4" s="1"/>
  <c r="M13" i="4" l="1"/>
  <c r="K14" i="4" s="1"/>
  <c r="J14" i="4" l="1"/>
  <c r="L14" i="4" s="1"/>
  <c r="M14" i="4" l="1"/>
  <c r="K15" i="4" s="1"/>
  <c r="J15" i="4" s="1"/>
  <c r="L15" i="4" l="1"/>
  <c r="M15" i="4"/>
  <c r="K16" i="4" s="1"/>
  <c r="J16" i="4" l="1"/>
  <c r="L16" i="4" s="1"/>
  <c r="M16" i="4" l="1"/>
  <c r="K17" i="4" s="1"/>
  <c r="J17" i="4" s="1"/>
  <c r="M17" i="4" l="1"/>
  <c r="K18" i="4" s="1"/>
  <c r="J18" i="4" s="1"/>
  <c r="L18" i="4" s="1"/>
  <c r="L17" i="4"/>
  <c r="M18" i="4" l="1"/>
  <c r="K19" i="4" s="1"/>
  <c r="J19" i="4" s="1"/>
  <c r="L19" i="4" l="1"/>
  <c r="M19" i="4" l="1"/>
  <c r="K20" i="4" s="1"/>
  <c r="J20" i="4" s="1"/>
  <c r="M20" i="4" l="1"/>
  <c r="K21" i="4" l="1"/>
  <c r="J21" i="4" s="1"/>
  <c r="L20" i="4"/>
  <c r="M21" i="4" l="1"/>
  <c r="K22" i="4" l="1"/>
  <c r="J22" i="4" s="1"/>
  <c r="L21" i="4"/>
  <c r="M22" i="4" l="1"/>
  <c r="K23" i="4" l="1"/>
  <c r="J23" i="4" s="1"/>
  <c r="L22" i="4"/>
  <c r="M23" i="4" l="1"/>
  <c r="K24" i="4" l="1"/>
  <c r="J24" i="4" s="1"/>
  <c r="L23" i="4"/>
  <c r="M24" i="4" l="1"/>
  <c r="K25" i="4" l="1"/>
  <c r="J25" i="4" s="1"/>
  <c r="L24" i="4"/>
  <c r="M25" i="4" l="1"/>
  <c r="K26" i="4" l="1"/>
  <c r="J26" i="4" s="1"/>
  <c r="L25" i="4"/>
  <c r="M26" i="4" l="1"/>
  <c r="K27" i="4" l="1"/>
  <c r="J27" i="4" s="1"/>
  <c r="L26" i="4"/>
  <c r="M27" i="4" l="1"/>
  <c r="K28" i="4" l="1"/>
  <c r="J28" i="4" s="1"/>
  <c r="L27" i="4"/>
  <c r="M28" i="4" l="1"/>
  <c r="K29" i="4" l="1"/>
  <c r="J29" i="4" s="1"/>
  <c r="L28" i="4"/>
  <c r="M29" i="4" l="1"/>
  <c r="K30" i="4" l="1"/>
  <c r="J30" i="4" s="1"/>
  <c r="L29" i="4"/>
  <c r="M30" i="4" l="1"/>
  <c r="L30" i="4" l="1"/>
  <c r="K31" i="4"/>
  <c r="J31" i="4" s="1"/>
  <c r="M31" i="4" l="1"/>
  <c r="K32" i="4" l="1"/>
  <c r="J32" i="4" s="1"/>
  <c r="L31" i="4"/>
  <c r="M32" i="4" l="1"/>
  <c r="K33" i="4" l="1"/>
  <c r="J33" i="4" s="1"/>
  <c r="L32" i="4"/>
  <c r="M33" i="4" l="1"/>
  <c r="K34" i="4" l="1"/>
  <c r="J34" i="4" s="1"/>
  <c r="L33" i="4"/>
  <c r="M34" i="4" l="1"/>
  <c r="K35" i="4" l="1"/>
  <c r="J35" i="4" s="1"/>
  <c r="L34" i="4"/>
  <c r="M35" i="4" l="1"/>
  <c r="K36" i="4" l="1"/>
  <c r="J36" i="4" s="1"/>
  <c r="L35" i="4"/>
  <c r="M36" i="4" l="1"/>
  <c r="K37" i="4" l="1"/>
  <c r="J37" i="4" s="1"/>
  <c r="L36" i="4"/>
  <c r="M37" i="4" l="1"/>
  <c r="K38" i="4" l="1"/>
  <c r="J38" i="4" s="1"/>
  <c r="L37" i="4"/>
  <c r="M38" i="4" l="1"/>
  <c r="K39" i="4" l="1"/>
  <c r="J39" i="4" s="1"/>
  <c r="L38" i="4"/>
  <c r="M39" i="4" l="1"/>
  <c r="K40" i="4" l="1"/>
  <c r="J40" i="4" s="1"/>
  <c r="L39" i="4"/>
  <c r="M40" i="4" l="1"/>
  <c r="K41" i="4" l="1"/>
  <c r="J41" i="4" s="1"/>
  <c r="L40" i="4"/>
  <c r="M41" i="4" l="1"/>
  <c r="K42" i="4" l="1"/>
  <c r="J42" i="4" s="1"/>
  <c r="L41" i="4"/>
  <c r="M42" i="4" l="1"/>
  <c r="K43" i="4" l="1"/>
  <c r="J43" i="4" s="1"/>
  <c r="L42" i="4"/>
  <c r="M43" i="4" l="1"/>
  <c r="K44" i="4" l="1"/>
  <c r="J44" i="4" s="1"/>
  <c r="L43" i="4"/>
  <c r="M44" i="4" l="1"/>
  <c r="K45" i="4" l="1"/>
  <c r="J45" i="4" s="1"/>
  <c r="L44" i="4"/>
  <c r="M45" i="4" l="1"/>
  <c r="K46" i="4" l="1"/>
  <c r="J46" i="4" s="1"/>
  <c r="L45" i="4"/>
  <c r="M46" i="4" l="1"/>
  <c r="L46" i="4" l="1"/>
  <c r="K47" i="4"/>
  <c r="J47" i="4" s="1"/>
  <c r="M47" i="4" l="1"/>
  <c r="K48" i="4" l="1"/>
  <c r="J48" i="4" s="1"/>
  <c r="L47" i="4"/>
  <c r="M48" i="4" l="1"/>
  <c r="K49" i="4" l="1"/>
  <c r="J49" i="4" s="1"/>
  <c r="L48" i="4"/>
  <c r="M49" i="4" l="1"/>
  <c r="K50" i="4" l="1"/>
  <c r="J50" i="4" s="1"/>
  <c r="L49" i="4"/>
  <c r="M50" i="4" l="1"/>
  <c r="K51" i="4" l="1"/>
  <c r="J51" i="4" s="1"/>
  <c r="L50" i="4"/>
  <c r="M51" i="4" l="1"/>
  <c r="K52" i="4" l="1"/>
  <c r="J52" i="4" s="1"/>
  <c r="L51" i="4"/>
  <c r="M52" i="4" l="1"/>
  <c r="K53" i="4" l="1"/>
  <c r="J53" i="4" s="1"/>
  <c r="L52" i="4"/>
  <c r="M53" i="4" l="1"/>
  <c r="K54" i="4" l="1"/>
  <c r="J54" i="4" s="1"/>
  <c r="L53" i="4"/>
  <c r="M54" i="4" l="1"/>
  <c r="K55" i="4" l="1"/>
  <c r="J55" i="4" s="1"/>
  <c r="L54" i="4"/>
  <c r="M55" i="4" l="1"/>
  <c r="K56" i="4" l="1"/>
  <c r="J56" i="4" s="1"/>
  <c r="L55" i="4"/>
  <c r="M56" i="4" l="1"/>
  <c r="K57" i="4" l="1"/>
  <c r="J57" i="4" s="1"/>
  <c r="L56" i="4"/>
  <c r="M57" i="4" l="1"/>
  <c r="K58" i="4" l="1"/>
  <c r="J58" i="4" s="1"/>
  <c r="L57" i="4"/>
  <c r="M58" i="4" l="1"/>
  <c r="K59" i="4" l="1"/>
  <c r="J59" i="4" s="1"/>
  <c r="L58" i="4"/>
  <c r="M59" i="4" l="1"/>
  <c r="K60" i="4" l="1"/>
  <c r="J60" i="4" s="1"/>
  <c r="L59" i="4"/>
  <c r="M60" i="4" l="1"/>
  <c r="K61" i="4" l="1"/>
  <c r="J61" i="4" s="1"/>
  <c r="L60" i="4"/>
  <c r="M61" i="4" l="1"/>
  <c r="K62" i="4" l="1"/>
  <c r="J62" i="4" s="1"/>
  <c r="L61" i="4"/>
  <c r="M62" i="4" l="1"/>
  <c r="K63" i="4" l="1"/>
  <c r="J63" i="4" s="1"/>
  <c r="L62" i="4"/>
  <c r="M63" i="4" l="1"/>
  <c r="K64" i="4" l="1"/>
  <c r="J64" i="4" s="1"/>
  <c r="L63" i="4"/>
  <c r="M64" i="4" l="1"/>
  <c r="L64" i="4" l="1"/>
  <c r="K65" i="4"/>
  <c r="J65" i="4" s="1"/>
  <c r="M65" i="4" l="1"/>
  <c r="K66" i="4" l="1"/>
  <c r="J66" i="4" s="1"/>
  <c r="L65" i="4"/>
  <c r="M66" i="4" l="1"/>
  <c r="K67" i="4" l="1"/>
  <c r="J67" i="4" s="1"/>
  <c r="L66" i="4"/>
  <c r="M67" i="4" l="1"/>
  <c r="K68" i="4" l="1"/>
  <c r="J68" i="4" s="1"/>
  <c r="L67" i="4"/>
  <c r="M68" i="4" l="1"/>
  <c r="K69" i="4" l="1"/>
  <c r="J69" i="4" s="1"/>
  <c r="L68" i="4"/>
  <c r="M69" i="4" l="1"/>
  <c r="K70" i="4" l="1"/>
  <c r="J70" i="4" s="1"/>
  <c r="L69" i="4"/>
  <c r="M70" i="4" l="1"/>
  <c r="L70" i="4" l="1"/>
  <c r="K71" i="4"/>
  <c r="J71" i="4" s="1"/>
  <c r="M71" i="4" l="1"/>
  <c r="K72" i="4" l="1"/>
  <c r="J72" i="4" s="1"/>
  <c r="L71" i="4"/>
  <c r="M72" i="4" l="1"/>
  <c r="L72" i="4" l="1"/>
  <c r="K73" i="4"/>
  <c r="J73" i="4" s="1"/>
  <c r="M73" i="4" l="1"/>
  <c r="K74" i="4" l="1"/>
  <c r="J74" i="4" s="1"/>
  <c r="L73" i="4"/>
  <c r="M74" i="4" l="1"/>
  <c r="K75" i="4" l="1"/>
  <c r="J75" i="4" s="1"/>
  <c r="L74" i="4"/>
  <c r="M75" i="4" l="1"/>
  <c r="K76" i="4" l="1"/>
  <c r="J76" i="4" s="1"/>
  <c r="L75" i="4"/>
  <c r="M76" i="4" l="1"/>
  <c r="K77" i="4" l="1"/>
  <c r="J77" i="4" s="1"/>
  <c r="L76" i="4"/>
  <c r="M77" i="4" l="1"/>
  <c r="K78" i="4" l="1"/>
  <c r="J78" i="4" s="1"/>
  <c r="L77" i="4"/>
  <c r="M78" i="4" l="1"/>
  <c r="K79" i="4" l="1"/>
  <c r="J79" i="4" s="1"/>
  <c r="L78" i="4"/>
  <c r="M79" i="4" l="1"/>
  <c r="K80" i="4" l="1"/>
  <c r="J80" i="4" s="1"/>
  <c r="L79" i="4"/>
  <c r="M80" i="4" l="1"/>
  <c r="K81" i="4" l="1"/>
  <c r="J81" i="4" s="1"/>
  <c r="L80" i="4"/>
  <c r="M81" i="4" l="1"/>
  <c r="K82" i="4" l="1"/>
  <c r="J82" i="4" s="1"/>
  <c r="L81" i="4"/>
  <c r="M82" i="4" l="1"/>
  <c r="K83" i="4" l="1"/>
  <c r="J83" i="4" s="1"/>
  <c r="L82" i="4"/>
  <c r="M83" i="4" l="1"/>
  <c r="K84" i="4" l="1"/>
  <c r="J84" i="4" s="1"/>
  <c r="L83" i="4"/>
  <c r="M84" i="4" l="1"/>
  <c r="K85" i="4" l="1"/>
  <c r="J85" i="4" s="1"/>
  <c r="L84" i="4"/>
  <c r="M85" i="4" l="1"/>
  <c r="K86" i="4" l="1"/>
  <c r="J86" i="4" s="1"/>
  <c r="L85" i="4"/>
  <c r="M86" i="4" l="1"/>
  <c r="K87" i="4" l="1"/>
  <c r="J87" i="4" s="1"/>
  <c r="L86" i="4"/>
  <c r="M87" i="4" l="1"/>
  <c r="K88" i="4" l="1"/>
  <c r="J88" i="4" s="1"/>
  <c r="L87" i="4"/>
  <c r="M88" i="4" l="1"/>
  <c r="K89" i="4" l="1"/>
  <c r="J89" i="4" s="1"/>
  <c r="L88" i="4"/>
  <c r="M89" i="4" l="1"/>
  <c r="K90" i="4" l="1"/>
  <c r="J90" i="4" s="1"/>
  <c r="L89" i="4"/>
  <c r="M90" i="4" l="1"/>
  <c r="K91" i="4" l="1"/>
  <c r="J91" i="4" s="1"/>
  <c r="L90" i="4"/>
  <c r="M91" i="4" l="1"/>
  <c r="K92" i="4" l="1"/>
  <c r="J92" i="4" s="1"/>
  <c r="L91" i="4"/>
  <c r="M92" i="4" l="1"/>
  <c r="K93" i="4" l="1"/>
  <c r="J93" i="4" s="1"/>
  <c r="L92" i="4"/>
  <c r="M93" i="4" l="1"/>
  <c r="K94" i="4" l="1"/>
  <c r="J94" i="4" s="1"/>
  <c r="L93" i="4"/>
  <c r="M94" i="4" l="1"/>
  <c r="K95" i="4" l="1"/>
  <c r="J95" i="4" s="1"/>
  <c r="L94" i="4"/>
  <c r="M95" i="4" l="1"/>
  <c r="K96" i="4" l="1"/>
  <c r="J96" i="4" s="1"/>
  <c r="L95" i="4"/>
  <c r="M96" i="4" l="1"/>
  <c r="K97" i="4" l="1"/>
  <c r="J97" i="4" s="1"/>
  <c r="L96" i="4"/>
  <c r="M97" i="4" l="1"/>
  <c r="K98" i="4" l="1"/>
  <c r="J98" i="4" s="1"/>
  <c r="L97" i="4"/>
  <c r="M98" i="4" l="1"/>
  <c r="K99" i="4" l="1"/>
  <c r="J99" i="4" s="1"/>
  <c r="L98" i="4"/>
  <c r="M99" i="4" l="1"/>
  <c r="K100" i="4" l="1"/>
  <c r="J100" i="4" s="1"/>
  <c r="L99" i="4"/>
  <c r="M100" i="4" l="1"/>
  <c r="K101" i="4" l="1"/>
  <c r="J101" i="4" s="1"/>
  <c r="L100" i="4"/>
  <c r="M101" i="4" l="1"/>
  <c r="K102" i="4" l="1"/>
  <c r="J102" i="4" s="1"/>
  <c r="L101" i="4"/>
  <c r="M102" i="4" l="1"/>
  <c r="K103" i="4" l="1"/>
  <c r="J103" i="4" s="1"/>
  <c r="L102" i="4"/>
  <c r="M103" i="4" l="1"/>
  <c r="K104" i="4" l="1"/>
  <c r="J104" i="4" s="1"/>
  <c r="L103" i="4"/>
  <c r="M104" i="4" l="1"/>
  <c r="K105" i="4" l="1"/>
  <c r="J105" i="4" s="1"/>
  <c r="L104" i="4"/>
  <c r="M105" i="4" l="1"/>
  <c r="K106" i="4" l="1"/>
  <c r="J106" i="4" s="1"/>
  <c r="L105" i="4"/>
  <c r="M106" i="4" l="1"/>
  <c r="K107" i="4" l="1"/>
  <c r="J107" i="4" s="1"/>
  <c r="L106" i="4"/>
  <c r="M107" i="4" l="1"/>
  <c r="K108" i="4" l="1"/>
  <c r="J108" i="4" s="1"/>
  <c r="L107" i="4"/>
  <c r="M108" i="4" l="1"/>
  <c r="K109" i="4" l="1"/>
  <c r="J109" i="4" s="1"/>
  <c r="L108" i="4"/>
  <c r="M109" i="4" l="1"/>
  <c r="K110" i="4" l="1"/>
  <c r="J110" i="4" s="1"/>
  <c r="L109" i="4"/>
  <c r="M110" i="4" l="1"/>
  <c r="K111" i="4" l="1"/>
  <c r="J111" i="4" s="1"/>
  <c r="L110" i="4"/>
  <c r="M111" i="4" l="1"/>
  <c r="K112" i="4" l="1"/>
  <c r="J112" i="4" s="1"/>
  <c r="L111" i="4"/>
  <c r="M112" i="4" l="1"/>
  <c r="K113" i="4" l="1"/>
  <c r="J113" i="4" s="1"/>
  <c r="L112" i="4"/>
  <c r="M113" i="4" l="1"/>
  <c r="K114" i="4" l="1"/>
  <c r="J114" i="4" s="1"/>
  <c r="L113" i="4"/>
  <c r="M114" i="4" l="1"/>
  <c r="K115" i="4" l="1"/>
  <c r="J115" i="4" s="1"/>
  <c r="L114" i="4"/>
  <c r="M115" i="4" l="1"/>
  <c r="K116" i="4" l="1"/>
  <c r="J116" i="4" s="1"/>
  <c r="L115" i="4"/>
  <c r="M116" i="4" l="1"/>
  <c r="K117" i="4" l="1"/>
  <c r="J117" i="4" s="1"/>
  <c r="L116" i="4"/>
  <c r="M117" i="4" l="1"/>
  <c r="K118" i="4" l="1"/>
  <c r="J118" i="4" s="1"/>
  <c r="L117" i="4"/>
  <c r="M118" i="4" l="1"/>
  <c r="K119" i="4" l="1"/>
  <c r="J119" i="4" s="1"/>
  <c r="L118" i="4"/>
  <c r="M119" i="4" l="1"/>
  <c r="K120" i="4" l="1"/>
  <c r="J120" i="4" s="1"/>
  <c r="L119" i="4"/>
  <c r="M120" i="4" l="1"/>
  <c r="K121" i="4" l="1"/>
  <c r="J121" i="4" s="1"/>
  <c r="L120" i="4"/>
  <c r="M121" i="4" l="1"/>
  <c r="K122" i="4" l="1"/>
  <c r="J122" i="4" s="1"/>
  <c r="L121" i="4"/>
  <c r="M122" i="4" l="1"/>
  <c r="K123" i="4" l="1"/>
  <c r="J123" i="4" s="1"/>
  <c r="L122" i="4"/>
  <c r="M123" i="4" l="1"/>
  <c r="K124" i="4" l="1"/>
  <c r="J124" i="4" s="1"/>
  <c r="L123" i="4"/>
  <c r="M124" i="4" l="1"/>
  <c r="K125" i="4" l="1"/>
  <c r="Q10" i="4" s="1"/>
  <c r="Q12" i="4" s="1"/>
  <c r="L124" i="4"/>
  <c r="J125" i="4" l="1"/>
  <c r="M125" i="4" s="1"/>
  <c r="L125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0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0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1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1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2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2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sharedStrings.xml><?xml version="1.0" encoding="utf-8"?>
<sst xmlns="http://schemas.openxmlformats.org/spreadsheetml/2006/main" count="605" uniqueCount="132">
  <si>
    <t>Maj</t>
  </si>
  <si>
    <t>Afv</t>
  </si>
  <si>
    <t>Real</t>
  </si>
  <si>
    <t>Moms</t>
  </si>
  <si>
    <t>Diff</t>
  </si>
  <si>
    <t>Likvider i alt ultimo måneden</t>
  </si>
  <si>
    <t>Månedens ændring i likvider i alt</t>
  </si>
  <si>
    <t>Ændring i Balanceposter i forhold til sidste måned</t>
  </si>
  <si>
    <t>Juli</t>
  </si>
  <si>
    <t>August</t>
  </si>
  <si>
    <t>September</t>
  </si>
  <si>
    <t>Oktober</t>
  </si>
  <si>
    <t>November</t>
  </si>
  <si>
    <t>December</t>
  </si>
  <si>
    <t>Januar</t>
  </si>
  <si>
    <t>Februar</t>
  </si>
  <si>
    <t>Marts</t>
  </si>
  <si>
    <t>April</t>
  </si>
  <si>
    <t>Juni</t>
  </si>
  <si>
    <t>Prognose</t>
  </si>
  <si>
    <t>Realiserede måneder</t>
  </si>
  <si>
    <t>Rest budgetmåneder</t>
  </si>
  <si>
    <t>Beregning af prognose: Realiserede måneder + resterende budgetterede</t>
  </si>
  <si>
    <t>Årets ændring i likvider</t>
  </si>
  <si>
    <t>Primo</t>
  </si>
  <si>
    <t>Likvider i alt ultimo året</t>
  </si>
  <si>
    <t>Afvigelse</t>
  </si>
  <si>
    <t>Jan</t>
  </si>
  <si>
    <t>Feb</t>
  </si>
  <si>
    <t>Mar</t>
  </si>
  <si>
    <t>Apr</t>
  </si>
  <si>
    <t>Jun</t>
  </si>
  <si>
    <t>Jul</t>
  </si>
  <si>
    <t>Aug</t>
  </si>
  <si>
    <t>Sep</t>
  </si>
  <si>
    <t>Okt</t>
  </si>
  <si>
    <t>Nov</t>
  </si>
  <si>
    <t>Dec</t>
  </si>
  <si>
    <t>Realiseret indbetalt resultat (modsat fortegn)</t>
  </si>
  <si>
    <t>JanBudget</t>
  </si>
  <si>
    <t>FebBudget</t>
  </si>
  <si>
    <t>MarBudget</t>
  </si>
  <si>
    <t>AprBudget</t>
  </si>
  <si>
    <t>MajBudget</t>
  </si>
  <si>
    <t>JunBudget</t>
  </si>
  <si>
    <t>JulBudget</t>
  </si>
  <si>
    <t>AugBudget</t>
  </si>
  <si>
    <t>SepBudget</t>
  </si>
  <si>
    <t>OktBudget</t>
  </si>
  <si>
    <t>NovBudget</t>
  </si>
  <si>
    <t>DecBudget</t>
  </si>
  <si>
    <t>Sum af linjer med moms angivet</t>
  </si>
  <si>
    <t>Moms 25 % af linjer med moms</t>
  </si>
  <si>
    <t>Ultimo tilsvar</t>
  </si>
  <si>
    <t>2. kvartal</t>
  </si>
  <si>
    <t>3. kvartal</t>
  </si>
  <si>
    <t>4. kvartal</t>
  </si>
  <si>
    <t>1. kvartal</t>
  </si>
  <si>
    <t>Forrige kvartal</t>
  </si>
  <si>
    <t>BANK + KASSE likvider i alt ultimo måneden</t>
  </si>
  <si>
    <t>BALANCE</t>
  </si>
  <si>
    <t>PRIMO</t>
  </si>
  <si>
    <t>Moms saldo budget</t>
  </si>
  <si>
    <t>Moms betalt(-)/tilbagebetalt(+)</t>
  </si>
  <si>
    <t>Budget saldo likviditet</t>
  </si>
  <si>
    <t>Prognose saldo likviditet</t>
  </si>
  <si>
    <t>Likvider budget</t>
  </si>
  <si>
    <t>Likvider prognose</t>
  </si>
  <si>
    <t>MOMS</t>
  </si>
  <si>
    <t>SALDI</t>
  </si>
  <si>
    <t>Kreditor %</t>
  </si>
  <si>
    <t>Debitor %</t>
  </si>
  <si>
    <t>Realiseret likviditet</t>
  </si>
  <si>
    <t>ANLÆGSAKTIVER</t>
  </si>
  <si>
    <t>TILGODEHAVENDER</t>
  </si>
  <si>
    <t>LIKVIDE BEHOLDNINGER</t>
  </si>
  <si>
    <t>AKTIVER I ALT</t>
  </si>
  <si>
    <t>EGENKAPITAL</t>
  </si>
  <si>
    <t>LANGFRISTET GÆLD</t>
  </si>
  <si>
    <t>KORTFRISTET GÆLD</t>
  </si>
  <si>
    <t>SKYLDIG MOMS</t>
  </si>
  <si>
    <t>SKYLDIGE LØNOMKOSTNINGER</t>
  </si>
  <si>
    <t>PASSIVER I ALT</t>
  </si>
  <si>
    <t>Ændring anlægsaktiver</t>
  </si>
  <si>
    <t>Ændring tilgodehavender</t>
  </si>
  <si>
    <t>Ændring langfristet gæld</t>
  </si>
  <si>
    <t>Ændring kortfristet gæld</t>
  </si>
  <si>
    <t>Ændring skyldig moms</t>
  </si>
  <si>
    <t>Ændring skyldige lønomkostninger</t>
  </si>
  <si>
    <t>OMSÆTNING I ALT</t>
  </si>
  <si>
    <t>VAREFORBRUG</t>
  </si>
  <si>
    <t>DÆKNINGSBIDRAG</t>
  </si>
  <si>
    <t>LØNNINGER MV. I ALT</t>
  </si>
  <si>
    <t>SALGSOMKOSTNINGER</t>
  </si>
  <si>
    <t>LOKALEOMKOSTNINGER</t>
  </si>
  <si>
    <t>TRANSPORTOMKOSTNINGER</t>
  </si>
  <si>
    <t>ADMINISTRATION</t>
  </si>
  <si>
    <t>AFSKRIVNINGER (Småanskaffelser)</t>
  </si>
  <si>
    <t>RENTEUDGIFTER</t>
  </si>
  <si>
    <t>Budget</t>
  </si>
  <si>
    <t>Realiseret</t>
  </si>
  <si>
    <t>Beregning af akkumulerret budget</t>
  </si>
  <si>
    <t>Beregning af akkumulerret realiseret</t>
  </si>
  <si>
    <t>HELE ÅRET</t>
  </si>
  <si>
    <t>Hævet til privat, bil og skat</t>
  </si>
  <si>
    <t>RESULTAT</t>
  </si>
  <si>
    <t xml:space="preserve">   heraf privat, bil og skat</t>
  </si>
  <si>
    <t>ÅR TIL DATO</t>
  </si>
  <si>
    <t xml:space="preserve">   SUM AF FRØ</t>
  </si>
  <si>
    <t>Real 2021</t>
  </si>
  <si>
    <t>Konto</t>
  </si>
  <si>
    <t>Navn</t>
  </si>
  <si>
    <t>AFDRAG PÅ LÅN TIL ANDELSGAARDE</t>
  </si>
  <si>
    <t>Afdrag</t>
  </si>
  <si>
    <t>Rente</t>
  </si>
  <si>
    <t>Dato</t>
  </si>
  <si>
    <t>Ydelse</t>
  </si>
  <si>
    <t>Gennemsnitlige månedlige renteomkostninger iht. ovenstående</t>
  </si>
  <si>
    <t>Restgæld</t>
  </si>
  <si>
    <t>Lån</t>
  </si>
  <si>
    <t>Rentsats</t>
  </si>
  <si>
    <t>Start: (dd-mm-åå)</t>
  </si>
  <si>
    <t>Slut: (dd-mm-åå)</t>
  </si>
  <si>
    <t>Gennemsnitlige afdrag pr. Termin</t>
  </si>
  <si>
    <t xml:space="preserve">Total pr. Termin før skat. </t>
  </si>
  <si>
    <t>Afdragsfri periode</t>
  </si>
  <si>
    <t>Termin</t>
  </si>
  <si>
    <t>Total Terminer</t>
  </si>
  <si>
    <t>Terminer afdrag</t>
  </si>
  <si>
    <t>Rente i afdragsperiode</t>
  </si>
  <si>
    <t>Rente i afdragsfri periode</t>
  </si>
  <si>
    <t>Rente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</si>
</sst>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kr.&quot;_-;\-* #,##0.00\ &quot;kr.&quot;_-;_-* &quot;-&quot;??\ &quot;kr.&quot;_-;_-@_-"/>
    <numFmt numFmtId="164" formatCode="_-* #,##0.00\ _k_r_._-;\-* #,##0.00\ _k_r_._-;_-* &quot;-&quot;??\ _k_r_._-;_-@_-"/>
    <numFmt numFmtId="165" formatCode="#,###"/>
    <numFmt numFmtId="166" formatCode="_-* #,##0\ &quot;kr.&quot;_-;\-* #,##0\ &quot;kr.&quot;_-;_-* &quot;-&quot;??\ &quot;kr.&quot;_-;_-@_-"/>
    <numFmt numFmtId="167" formatCode="0.0"/>
    <numFmt numFmtId="168" formatCode="_-* #,##0.0\ &quot;kr.&quot;_-;\-* #,##0.0\ &quot;kr.&quot;_-;_-* &quot;-&quot;?\ &quot;kr.&quot;_-;_-@_-"/>
    <numFmt numFmtId="171" formatCode="0.00\ &quot;år&quot;"/>
    <numFmt numFmtId="173" formatCode="0.0\ &quot;år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52">
    <xf numFmtId="0" fontId="0" fillId="0" borderId="0" xfId="0"/>
    <xf numFmtId="3" fontId="0" fillId="2" borderId="0" xfId="0" applyNumberFormat="1" applyFill="1"/>
    <xf numFmtId="3" fontId="1" fillId="2" borderId="0" xfId="0" applyNumberFormat="1" applyFont="1" applyFill="1"/>
    <xf numFmtId="165" fontId="0" fillId="2" borderId="0" xfId="0" applyNumberFormat="1" applyFill="1"/>
    <xf numFmtId="165" fontId="1" fillId="2" borderId="0" xfId="0" applyNumberFormat="1" applyFont="1" applyFill="1"/>
    <xf numFmtId="165" fontId="1" fillId="2" borderId="1" xfId="0" applyNumberFormat="1" applyFont="1" applyFill="1" applyBorder="1"/>
    <xf numFmtId="165" fontId="0" fillId="2" borderId="6" xfId="0" applyNumberFormat="1" applyFill="1" applyBorder="1"/>
    <xf numFmtId="165" fontId="1" fillId="2" borderId="8" xfId="0" applyNumberFormat="1" applyFont="1" applyFill="1" applyBorder="1"/>
    <xf numFmtId="165" fontId="1" fillId="2" borderId="2" xfId="0" applyNumberFormat="1" applyFont="1" applyFill="1" applyBorder="1"/>
    <xf numFmtId="165" fontId="0" fillId="2" borderId="13" xfId="0" applyNumberFormat="1" applyFill="1" applyBorder="1"/>
    <xf numFmtId="165" fontId="0" fillId="4" borderId="11" xfId="0" applyNumberFormat="1" applyFill="1" applyBorder="1"/>
    <xf numFmtId="3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right"/>
    </xf>
    <xf numFmtId="165" fontId="0" fillId="2" borderId="15" xfId="0" applyNumberFormat="1" applyFill="1" applyBorder="1"/>
    <xf numFmtId="165" fontId="0" fillId="4" borderId="6" xfId="0" applyNumberFormat="1" applyFill="1" applyBorder="1" applyProtection="1">
      <protection locked="0"/>
    </xf>
    <xf numFmtId="165" fontId="0" fillId="5" borderId="4" xfId="0" applyNumberFormat="1" applyFill="1" applyBorder="1" applyProtection="1">
      <protection locked="0"/>
    </xf>
    <xf numFmtId="165" fontId="0" fillId="5" borderId="0" xfId="0" applyNumberFormat="1" applyFill="1" applyProtection="1">
      <protection locked="0"/>
    </xf>
    <xf numFmtId="3" fontId="0" fillId="5" borderId="0" xfId="0" applyNumberFormat="1" applyFill="1" applyProtection="1">
      <protection locked="0"/>
    </xf>
    <xf numFmtId="9" fontId="0" fillId="4" borderId="0" xfId="4" applyFont="1" applyFill="1" applyProtection="1">
      <protection locked="0"/>
    </xf>
    <xf numFmtId="165" fontId="0" fillId="3" borderId="0" xfId="0" applyNumberFormat="1" applyFill="1" applyProtection="1">
      <protection locked="0"/>
    </xf>
    <xf numFmtId="3" fontId="1" fillId="2" borderId="0" xfId="0" applyNumberFormat="1" applyFont="1" applyFill="1" applyAlignment="1">
      <alignment horizontal="center"/>
    </xf>
    <xf numFmtId="165" fontId="0" fillId="4" borderId="3" xfId="0" applyNumberFormat="1" applyFill="1" applyBorder="1" applyAlignment="1" applyProtection="1">
      <alignment horizontal="right"/>
      <protection locked="0"/>
    </xf>
    <xf numFmtId="165" fontId="0" fillId="5" borderId="3" xfId="0" applyNumberFormat="1" applyFill="1" applyBorder="1" applyProtection="1">
      <protection locked="0"/>
    </xf>
    <xf numFmtId="3" fontId="0" fillId="5" borderId="6" xfId="0" applyNumberFormat="1" applyFill="1" applyBorder="1" applyProtection="1">
      <protection locked="0"/>
    </xf>
    <xf numFmtId="165" fontId="0" fillId="4" borderId="6" xfId="0" applyNumberFormat="1" applyFill="1" applyBorder="1" applyAlignment="1" applyProtection="1">
      <alignment horizontal="right"/>
      <protection locked="0"/>
    </xf>
    <xf numFmtId="165" fontId="0" fillId="4" borderId="6" xfId="0" applyNumberFormat="1" applyFill="1" applyBorder="1" applyAlignment="1" applyProtection="1">
      <alignment horizontal="right" vertical="center"/>
      <protection locked="0"/>
    </xf>
    <xf numFmtId="165" fontId="1" fillId="2" borderId="6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165" fontId="1" fillId="2" borderId="10" xfId="0" applyNumberFormat="1" applyFont="1" applyFill="1" applyBorder="1"/>
    <xf numFmtId="165" fontId="1" fillId="2" borderId="11" xfId="0" applyNumberFormat="1" applyFont="1" applyFill="1" applyBorder="1"/>
    <xf numFmtId="165" fontId="1" fillId="2" borderId="5" xfId="0" applyNumberFormat="1" applyFont="1" applyFill="1" applyBorder="1"/>
    <xf numFmtId="165" fontId="1" fillId="2" borderId="11" xfId="0" applyNumberFormat="1" applyFont="1" applyFill="1" applyBorder="1" applyAlignment="1">
      <alignment horizontal="right"/>
    </xf>
    <xf numFmtId="165" fontId="1" fillId="2" borderId="12" xfId="0" applyNumberFormat="1" applyFont="1" applyFill="1" applyBorder="1" applyAlignment="1">
      <alignment horizontal="right"/>
    </xf>
    <xf numFmtId="165" fontId="11" fillId="3" borderId="11" xfId="0" applyNumberFormat="1" applyFont="1" applyFill="1" applyBorder="1" applyAlignment="1" applyProtection="1">
      <alignment horizontal="center" vertical="center"/>
      <protection locked="0"/>
    </xf>
    <xf numFmtId="165" fontId="1" fillId="2" borderId="7" xfId="0" applyNumberFormat="1" applyFont="1" applyFill="1" applyBorder="1"/>
    <xf numFmtId="165" fontId="1" fillId="2" borderId="13" xfId="0" applyNumberFormat="1" applyFont="1" applyFill="1" applyBorder="1"/>
    <xf numFmtId="165" fontId="0" fillId="7" borderId="7" xfId="0" applyNumberFormat="1" applyFill="1" applyBorder="1"/>
    <xf numFmtId="165" fontId="1" fillId="7" borderId="9" xfId="0" applyNumberFormat="1" applyFont="1" applyFill="1" applyBorder="1"/>
    <xf numFmtId="1" fontId="1" fillId="2" borderId="11" xfId="0" applyNumberFormat="1" applyFont="1" applyFill="1" applyBorder="1" applyAlignment="1">
      <alignment horizontal="right"/>
    </xf>
    <xf numFmtId="165" fontId="1" fillId="4" borderId="11" xfId="0" applyNumberFormat="1" applyFont="1" applyFill="1" applyBorder="1" applyAlignment="1">
      <alignment horizontal="center"/>
    </xf>
    <xf numFmtId="165" fontId="0" fillId="4" borderId="11" xfId="0" applyNumberFormat="1" applyFill="1" applyBorder="1" applyAlignment="1">
      <alignment horizontal="right"/>
    </xf>
    <xf numFmtId="3" fontId="13" fillId="5" borderId="0" xfId="0" applyNumberFormat="1" applyFont="1" applyFill="1" applyProtection="1">
      <protection locked="0"/>
    </xf>
    <xf numFmtId="165" fontId="13" fillId="4" borderId="6" xfId="0" applyNumberFormat="1" applyFont="1" applyFill="1" applyBorder="1" applyAlignment="1" applyProtection="1">
      <alignment horizontal="right" vertical="center"/>
      <protection locked="0"/>
    </xf>
    <xf numFmtId="3" fontId="1" fillId="2" borderId="0" xfId="0" applyNumberFormat="1" applyFont="1" applyFill="1" applyAlignment="1">
      <alignment horizontal="right"/>
    </xf>
    <xf numFmtId="3" fontId="14" fillId="2" borderId="0" xfId="0" applyNumberFormat="1" applyFont="1" applyFill="1"/>
    <xf numFmtId="165" fontId="14" fillId="2" borderId="0" xfId="0" applyNumberFormat="1" applyFont="1" applyFill="1"/>
    <xf numFmtId="0" fontId="0" fillId="2" borderId="0" xfId="0" applyFill="1"/>
    <xf numFmtId="0" fontId="15" fillId="2" borderId="16" xfId="0" applyFont="1" applyFill="1" applyBorder="1"/>
    <xf numFmtId="0" fontId="15" fillId="2" borderId="19" xfId="0" applyFont="1" applyFill="1" applyBorder="1"/>
    <xf numFmtId="0" fontId="15" fillId="2" borderId="17" xfId="0" applyFont="1" applyFill="1" applyBorder="1"/>
    <xf numFmtId="14" fontId="0" fillId="2" borderId="0" xfId="0" applyNumberFormat="1" applyFill="1"/>
    <xf numFmtId="168" fontId="0" fillId="2" borderId="0" xfId="0" applyNumberFormat="1" applyFill="1"/>
    <xf numFmtId="167" fontId="0" fillId="2" borderId="18" xfId="0" applyNumberFormat="1" applyFill="1" applyBorder="1"/>
    <xf numFmtId="166" fontId="0" fillId="2" borderId="0" xfId="5" applyNumberFormat="1" applyFont="1" applyFill="1" applyBorder="1" applyAlignment="1" applyProtection="1"/>
    <xf numFmtId="166" fontId="0" fillId="2" borderId="0" xfId="0" applyNumberFormat="1" applyFill="1"/>
    <xf numFmtId="44" fontId="10" fillId="2" borderId="18" xfId="5" applyFont="1" applyFill="1" applyBorder="1" applyAlignment="1" applyProtection="1"/>
    <xf numFmtId="165" fontId="0" fillId="2" borderId="8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0" fontId="1" fillId="2" borderId="18" xfId="0" applyFont="1" applyFill="1" applyBorder="1"/>
    <xf numFmtId="173" fontId="0" fillId="2" borderId="0" xfId="0" applyNumberFormat="1" applyFill="1"/>
    <xf numFmtId="3" fontId="0" fillId="2" borderId="0" xfId="0" applyNumberFormat="1" applyFill="1" applyProtection="1">
      <protection locked="0"/>
    </xf>
    <xf numFmtId="1" fontId="0" fillId="2" borderId="0" xfId="0" applyNumberFormat="1" applyFill="1" applyProtection="1">
      <protection locked="0"/>
    </xf>
    <xf numFmtId="3" fontId="5" fillId="2" borderId="0" xfId="0" applyNumberFormat="1" applyFont="1" applyFill="1" applyProtection="1">
      <protection locked="0"/>
    </xf>
    <xf numFmtId="3" fontId="12" fillId="2" borderId="0" xfId="0" applyNumberFormat="1" applyFont="1" applyFill="1" applyProtection="1">
      <protection locked="0"/>
    </xf>
    <xf numFmtId="3" fontId="12" fillId="2" borderId="0" xfId="0" applyNumberFormat="1" applyFont="1" applyFill="1" applyAlignment="1" applyProtection="1">
      <alignment vertical="center"/>
      <protection locked="0"/>
    </xf>
    <xf numFmtId="3" fontId="0" fillId="2" borderId="0" xfId="0" applyNumberFormat="1" applyFill="1" applyAlignment="1" applyProtection="1">
      <alignment vertical="center"/>
      <protection locked="0"/>
    </xf>
    <xf numFmtId="3" fontId="1" fillId="2" borderId="0" xfId="0" applyNumberFormat="1" applyFont="1" applyFill="1" applyProtection="1">
      <protection locked="0"/>
    </xf>
    <xf numFmtId="165" fontId="0" fillId="2" borderId="0" xfId="0" applyNumberFormat="1" applyFill="1" applyProtection="1">
      <protection locked="0"/>
    </xf>
    <xf numFmtId="1" fontId="1" fillId="2" borderId="0" xfId="0" applyNumberFormat="1" applyFont="1" applyFill="1" applyProtection="1">
      <protection locked="0"/>
    </xf>
    <xf numFmtId="165" fontId="1" fillId="2" borderId="0" xfId="0" applyNumberFormat="1" applyFont="1" applyFill="1" applyProtection="1">
      <protection locked="0"/>
    </xf>
    <xf numFmtId="165" fontId="2" fillId="2" borderId="3" xfId="0" applyNumberFormat="1" applyFont="1" applyFill="1" applyBorder="1" applyAlignment="1" applyProtection="1">
      <alignment horizontal="center"/>
      <protection locked="0"/>
    </xf>
    <xf numFmtId="165" fontId="2" fillId="2" borderId="4" xfId="0" applyNumberFormat="1" applyFont="1" applyFill="1" applyBorder="1" applyAlignment="1" applyProtection="1">
      <alignment horizontal="center"/>
      <protection locked="0"/>
    </xf>
    <xf numFmtId="165" fontId="2" fillId="2" borderId="5" xfId="0" applyNumberFormat="1" applyFont="1" applyFill="1" applyBorder="1" applyAlignment="1" applyProtection="1">
      <alignment horizontal="center"/>
      <protection locked="0"/>
    </xf>
    <xf numFmtId="165" fontId="2" fillId="2" borderId="0" xfId="0" applyNumberFormat="1" applyFont="1" applyFill="1" applyAlignment="1" applyProtection="1">
      <alignment horizontal="center"/>
      <protection locked="0"/>
    </xf>
    <xf numFmtId="165" fontId="1" fillId="2" borderId="3" xfId="0" applyNumberFormat="1" applyFont="1" applyFill="1" applyBorder="1" applyProtection="1">
      <protection locked="0"/>
    </xf>
    <xf numFmtId="165" fontId="1" fillId="2" borderId="4" xfId="0" applyNumberFormat="1" applyFont="1" applyFill="1" applyBorder="1" applyAlignment="1" applyProtection="1">
      <alignment horizontal="center"/>
      <protection locked="0"/>
    </xf>
    <xf numFmtId="165" fontId="0" fillId="2" borderId="4" xfId="0" applyNumberFormat="1" applyFill="1" applyBorder="1" applyProtection="1">
      <protection locked="0"/>
    </xf>
    <xf numFmtId="165" fontId="1" fillId="2" borderId="4" xfId="0" applyNumberFormat="1" applyFont="1" applyFill="1" applyBorder="1" applyProtection="1">
      <protection locked="0"/>
    </xf>
    <xf numFmtId="165" fontId="1" fillId="2" borderId="5" xfId="0" applyNumberFormat="1" applyFont="1" applyFill="1" applyBorder="1" applyProtection="1">
      <protection locked="0"/>
    </xf>
    <xf numFmtId="165" fontId="2" fillId="2" borderId="10" xfId="0" applyNumberFormat="1" applyFont="1" applyFill="1" applyBorder="1" applyAlignment="1" applyProtection="1">
      <alignment horizontal="center"/>
      <protection locked="0"/>
    </xf>
    <xf numFmtId="165" fontId="0" fillId="2" borderId="11" xfId="0" applyNumberFormat="1" applyFill="1" applyBorder="1" applyAlignment="1" applyProtection="1">
      <alignment horizontal="center"/>
      <protection locked="0"/>
    </xf>
    <xf numFmtId="165" fontId="0" fillId="2" borderId="12" xfId="0" applyNumberFormat="1" applyFill="1" applyBorder="1" applyAlignment="1" applyProtection="1">
      <alignment horizontal="center"/>
      <protection locked="0"/>
    </xf>
    <xf numFmtId="165" fontId="2" fillId="2" borderId="10" xfId="0" applyNumberFormat="1" applyFont="1" applyFill="1" applyBorder="1" applyAlignment="1" applyProtection="1">
      <alignment horizontal="right"/>
      <protection locked="0"/>
    </xf>
    <xf numFmtId="165" fontId="0" fillId="2" borderId="11" xfId="0" applyNumberFormat="1" applyFill="1" applyBorder="1" applyAlignment="1" applyProtection="1">
      <alignment horizontal="right"/>
      <protection locked="0"/>
    </xf>
    <xf numFmtId="165" fontId="1" fillId="2" borderId="10" xfId="0" applyNumberFormat="1" applyFont="1" applyFill="1" applyBorder="1" applyAlignment="1" applyProtection="1">
      <alignment horizontal="right"/>
      <protection locked="0"/>
    </xf>
    <xf numFmtId="165" fontId="1" fillId="2" borderId="11" xfId="0" applyNumberFormat="1" applyFont="1" applyFill="1" applyBorder="1" applyAlignment="1" applyProtection="1">
      <alignment horizontal="right"/>
      <protection locked="0"/>
    </xf>
    <xf numFmtId="165" fontId="1" fillId="2" borderId="10" xfId="0" applyNumberFormat="1" applyFont="1" applyFill="1" applyBorder="1" applyProtection="1">
      <protection locked="0"/>
    </xf>
    <xf numFmtId="165" fontId="1" fillId="2" borderId="11" xfId="0" applyNumberFormat="1" applyFont="1" applyFill="1" applyBorder="1" applyProtection="1">
      <protection locked="0"/>
    </xf>
    <xf numFmtId="1" fontId="1" fillId="2" borderId="11" xfId="0" applyNumberFormat="1" applyFont="1" applyFill="1" applyBorder="1" applyAlignment="1" applyProtection="1">
      <alignment horizontal="right"/>
      <protection locked="0"/>
    </xf>
    <xf numFmtId="165" fontId="1" fillId="2" borderId="12" xfId="0" applyNumberFormat="1" applyFont="1" applyFill="1" applyBorder="1" applyAlignment="1" applyProtection="1">
      <alignment horizontal="right"/>
      <protection locked="0"/>
    </xf>
    <xf numFmtId="165" fontId="0" fillId="2" borderId="7" xfId="0" applyNumberFormat="1" applyFill="1" applyBorder="1" applyProtection="1">
      <protection locked="0"/>
    </xf>
    <xf numFmtId="165" fontId="0" fillId="4" borderId="13" xfId="0" applyNumberFormat="1" applyFill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2" borderId="13" xfId="0" applyNumberFormat="1" applyFill="1" applyBorder="1" applyProtection="1">
      <protection locked="0"/>
    </xf>
    <xf numFmtId="165" fontId="0" fillId="2" borderId="6" xfId="0" applyNumberFormat="1" applyFill="1" applyBorder="1" applyProtection="1">
      <protection locked="0"/>
    </xf>
    <xf numFmtId="165" fontId="0" fillId="7" borderId="7" xfId="0" applyNumberFormat="1" applyFill="1" applyBorder="1" applyProtection="1">
      <protection locked="0"/>
    </xf>
    <xf numFmtId="165" fontId="1" fillId="2" borderId="6" xfId="0" applyNumberFormat="1" applyFont="1" applyFill="1" applyBorder="1" applyProtection="1">
      <protection locked="0"/>
    </xf>
    <xf numFmtId="165" fontId="1" fillId="2" borderId="7" xfId="0" applyNumberFormat="1" applyFont="1" applyFill="1" applyBorder="1" applyProtection="1">
      <protection locked="0"/>
    </xf>
    <xf numFmtId="165" fontId="1" fillId="2" borderId="13" xfId="0" applyNumberFormat="1" applyFont="1" applyFill="1" applyBorder="1" applyProtection="1">
      <protection locked="0"/>
    </xf>
    <xf numFmtId="3" fontId="0" fillId="4" borderId="13" xfId="0" applyNumberFormat="1" applyFill="1" applyBorder="1" applyProtection="1">
      <protection locked="0"/>
    </xf>
    <xf numFmtId="1" fontId="1" fillId="2" borderId="1" xfId="0" applyNumberFormat="1" applyFont="1" applyFill="1" applyBorder="1" applyProtection="1">
      <protection locked="0"/>
    </xf>
    <xf numFmtId="165" fontId="1" fillId="2" borderId="1" xfId="0" applyNumberFormat="1" applyFont="1" applyFill="1" applyBorder="1" applyProtection="1">
      <protection locked="0"/>
    </xf>
    <xf numFmtId="165" fontId="1" fillId="2" borderId="8" xfId="0" applyNumberFormat="1" applyFont="1" applyFill="1" applyBorder="1" applyProtection="1">
      <protection locked="0"/>
    </xf>
    <xf numFmtId="165" fontId="1" fillId="2" borderId="9" xfId="0" applyNumberFormat="1" applyFont="1" applyFill="1" applyBorder="1" applyProtection="1">
      <protection locked="0"/>
    </xf>
    <xf numFmtId="165" fontId="1" fillId="4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165" fontId="1" fillId="2" borderId="2" xfId="0" applyNumberFormat="1" applyFont="1" applyFill="1" applyBorder="1" applyProtection="1">
      <protection locked="0"/>
    </xf>
    <xf numFmtId="165" fontId="1" fillId="7" borderId="9" xfId="0" applyNumberFormat="1" applyFont="1" applyFill="1" applyBorder="1" applyProtection="1">
      <protection locked="0"/>
    </xf>
    <xf numFmtId="165" fontId="0" fillId="2" borderId="0" xfId="0" applyNumberFormat="1" applyFill="1" applyAlignment="1" applyProtection="1">
      <alignment horizontal="right"/>
      <protection locked="0"/>
    </xf>
    <xf numFmtId="165" fontId="1" fillId="4" borderId="13" xfId="0" applyNumberFormat="1" applyFont="1" applyFill="1" applyBorder="1" applyProtection="1">
      <protection locked="0"/>
    </xf>
    <xf numFmtId="165" fontId="1" fillId="3" borderId="13" xfId="0" applyNumberFormat="1" applyFont="1" applyFill="1" applyBorder="1" applyAlignment="1" applyProtection="1">
      <alignment horizontal="right"/>
      <protection locked="0"/>
    </xf>
    <xf numFmtId="3" fontId="0" fillId="2" borderId="6" xfId="0" applyNumberFormat="1" applyFill="1" applyBorder="1" applyProtection="1">
      <protection locked="0"/>
    </xf>
    <xf numFmtId="165" fontId="1" fillId="3" borderId="13" xfId="0" applyNumberFormat="1" applyFont="1" applyFill="1" applyBorder="1" applyProtection="1">
      <protection locked="0"/>
    </xf>
    <xf numFmtId="1" fontId="0" fillId="2" borderId="0" xfId="0" applyNumberFormat="1" applyFill="1" applyAlignment="1" applyProtection="1">
      <alignment horizontal="right"/>
      <protection locked="0"/>
    </xf>
    <xf numFmtId="165" fontId="10" fillId="2" borderId="0" xfId="0" applyNumberFormat="1" applyFont="1" applyFill="1" applyProtection="1">
      <protection locked="0"/>
    </xf>
    <xf numFmtId="165" fontId="10" fillId="2" borderId="7" xfId="0" applyNumberFormat="1" applyFont="1" applyFill="1" applyBorder="1" applyProtection="1">
      <protection locked="0"/>
    </xf>
    <xf numFmtId="165" fontId="10" fillId="2" borderId="6" xfId="0" applyNumberFormat="1" applyFont="1" applyFill="1" applyBorder="1" applyProtection="1">
      <protection locked="0"/>
    </xf>
    <xf numFmtId="165" fontId="0" fillId="2" borderId="15" xfId="0" applyNumberFormat="1" applyFill="1" applyBorder="1" applyProtection="1">
      <protection locked="0"/>
    </xf>
    <xf numFmtId="165" fontId="0" fillId="2" borderId="8" xfId="0" applyNumberFormat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165" fontId="1" fillId="4" borderId="2" xfId="0" applyNumberFormat="1" applyFont="1" applyFill="1" applyBorder="1" applyProtection="1">
      <protection locked="0"/>
    </xf>
    <xf numFmtId="165" fontId="1" fillId="3" borderId="2" xfId="0" applyNumberFormat="1" applyFont="1" applyFill="1" applyBorder="1" applyProtection="1">
      <protection locked="0"/>
    </xf>
    <xf numFmtId="9" fontId="0" fillId="2" borderId="0" xfId="4" applyFont="1" applyFill="1" applyProtection="1">
      <protection locked="0"/>
    </xf>
    <xf numFmtId="165" fontId="0" fillId="2" borderId="14" xfId="0" applyNumberForma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  <protection locked="0"/>
    </xf>
    <xf numFmtId="165" fontId="0" fillId="2" borderId="12" xfId="0" applyNumberFormat="1" applyFill="1" applyBorder="1" applyAlignment="1" applyProtection="1">
      <alignment horizontal="right"/>
      <protection locked="0"/>
    </xf>
    <xf numFmtId="3" fontId="1" fillId="2" borderId="0" xfId="0" applyNumberFormat="1" applyFont="1" applyFill="1" applyAlignment="1" applyProtection="1">
      <alignment horizontal="right"/>
      <protection locked="0"/>
    </xf>
    <xf numFmtId="165" fontId="0" fillId="6" borderId="7" xfId="0" applyNumberFormat="1" applyFill="1" applyBorder="1" applyAlignment="1" applyProtection="1">
      <alignment horizontal="right" vertical="center"/>
      <protection locked="0"/>
    </xf>
    <xf numFmtId="3" fontId="14" fillId="2" borderId="0" xfId="0" applyNumberFormat="1" applyFont="1" applyFill="1" applyProtection="1">
      <protection locked="0"/>
    </xf>
    <xf numFmtId="165" fontId="14" fillId="2" borderId="0" xfId="0" applyNumberFormat="1" applyFont="1" applyFill="1" applyProtection="1">
      <protection locked="0"/>
    </xf>
    <xf numFmtId="165" fontId="0" fillId="6" borderId="6" xfId="0" applyNumberFormat="1" applyFill="1" applyBorder="1" applyAlignment="1" applyProtection="1">
      <alignment horizontal="right" vertical="center"/>
      <protection locked="0"/>
    </xf>
    <xf numFmtId="3" fontId="1" fillId="2" borderId="6" xfId="0" applyNumberFormat="1" applyFont="1" applyFill="1" applyBorder="1" applyProtection="1">
      <protection locked="0"/>
    </xf>
    <xf numFmtId="3" fontId="1" fillId="2" borderId="6" xfId="0" applyNumberFormat="1" applyFont="1" applyFill="1" applyBorder="1" applyAlignment="1" applyProtection="1">
      <alignment horizontal="right"/>
      <protection locked="0"/>
    </xf>
    <xf numFmtId="3" fontId="1" fillId="2" borderId="7" xfId="0" applyNumberFormat="1" applyFont="1" applyFill="1" applyBorder="1" applyAlignment="1" applyProtection="1">
      <alignment horizontal="right"/>
      <protection locked="0"/>
    </xf>
    <xf numFmtId="165" fontId="0" fillId="2" borderId="6" xfId="0" applyNumberFormat="1" applyFill="1" applyBorder="1" applyAlignment="1" applyProtection="1">
      <alignment horizontal="right" vertical="center"/>
      <protection locked="0"/>
    </xf>
    <xf numFmtId="165" fontId="13" fillId="6" borderId="7" xfId="0" applyNumberFormat="1" applyFont="1" applyFill="1" applyBorder="1" applyAlignment="1" applyProtection="1">
      <alignment horizontal="right" vertical="center"/>
      <protection locked="0"/>
    </xf>
    <xf numFmtId="3" fontId="1" fillId="2" borderId="12" xfId="0" applyNumberFormat="1" applyFont="1" applyFill="1" applyBorder="1" applyProtection="1">
      <protection locked="0"/>
    </xf>
    <xf numFmtId="3" fontId="1" fillId="2" borderId="10" xfId="0" applyNumberFormat="1" applyFont="1" applyFill="1" applyBorder="1" applyProtection="1">
      <protection locked="0"/>
    </xf>
    <xf numFmtId="3" fontId="1" fillId="2" borderId="11" xfId="0" applyNumberFormat="1" applyFont="1" applyFill="1" applyBorder="1" applyProtection="1">
      <protection locked="0"/>
    </xf>
    <xf numFmtId="3" fontId="10" fillId="2" borderId="0" xfId="0" applyNumberFormat="1" applyFont="1" applyFill="1" applyProtection="1">
      <protection locked="0"/>
    </xf>
    <xf numFmtId="3" fontId="0" fillId="2" borderId="0" xfId="0" quotePrefix="1" applyNumberFormat="1" applyFill="1" applyProtection="1">
      <protection locked="0"/>
    </xf>
    <xf numFmtId="3" fontId="0" fillId="2" borderId="0" xfId="0" applyNumberFormat="1" applyFill="1" applyAlignment="1" applyProtection="1">
      <alignment horizontal="right"/>
      <protection locked="0"/>
    </xf>
    <xf numFmtId="3" fontId="0" fillId="2" borderId="2" xfId="0" applyNumberFormat="1" applyFill="1" applyBorder="1" applyProtection="1">
      <protection locked="0"/>
    </xf>
    <xf numFmtId="3" fontId="0" fillId="2" borderId="0" xfId="0" applyNumberFormat="1" applyFill="1" applyAlignment="1" applyProtection="1">
      <alignment horizontal="center"/>
      <protection locked="0"/>
    </xf>
    <xf numFmtId="3" fontId="0" fillId="2" borderId="0" xfId="1" applyNumberFormat="1" applyFont="1" applyFill="1" applyProtection="1">
      <protection locked="0"/>
    </xf>
    <xf numFmtId="166" fontId="0" fillId="8" borderId="18" xfId="5" applyNumberFormat="1" applyFont="1" applyFill="1" applyBorder="1" applyAlignment="1" applyProtection="1">
      <protection locked="0"/>
    </xf>
    <xf numFmtId="10" fontId="0" fillId="8" borderId="18" xfId="0" applyNumberFormat="1" applyFill="1" applyBorder="1" applyProtection="1">
      <protection locked="0"/>
    </xf>
    <xf numFmtId="14" fontId="0" fillId="8" borderId="18" xfId="0" applyNumberFormat="1" applyFill="1" applyBorder="1" applyProtection="1">
      <protection locked="0"/>
    </xf>
    <xf numFmtId="171" fontId="0" fillId="8" borderId="18" xfId="0" applyNumberFormat="1" applyFill="1" applyBorder="1" applyProtection="1">
      <protection locked="0"/>
    </xf>
  </cellXfs>
  <cellStyles count="6">
    <cellStyle name="Comma" xfId="1" builtinId="3"/>
    <cellStyle name="Currency" xfId="5" builtinId="4"/>
    <cellStyle name="Followed Hyperlink" xfId="3" builtinId="9" hidden="1"/>
    <cellStyle name="Hyperlink" xfId="2" builtinId="8" hidden="1"/>
    <cellStyle name="Normal" xfId="0" builtinId="0"/>
    <cellStyle name="Per cent" xfId="4" builtinId="5"/>
  </cellStyles>
  <dxfs count="0"/>
  <tableStyles count="0" defaultTableStyle="TableStyleMedium2" defaultPivotStyle="PivotStyleLight16"/>
  <colors>
    <mruColors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7EB-4EF5-9B9E-E7ABB9611E2E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7EB-4EF5-9B9E-E7ABB961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308352"/>
        <c:axId val="258326528"/>
      </c:lineChart>
      <c:catAx>
        <c:axId val="2583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58326528"/>
        <c:crosses val="autoZero"/>
        <c:auto val="1"/>
        <c:lblAlgn val="ctr"/>
        <c:lblOffset val="100"/>
        <c:noMultiLvlLbl val="0"/>
      </c:catAx>
      <c:valAx>
        <c:axId val="2583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583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FDF-F043-A92B-9B4A526282A6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FDF-F043-A92B-9B4A52628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065792"/>
        <c:axId val="268071680"/>
      </c:lineChart>
      <c:catAx>
        <c:axId val="26806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071680"/>
        <c:crosses val="autoZero"/>
        <c:auto val="1"/>
        <c:lblAlgn val="ctr"/>
        <c:lblOffset val="100"/>
        <c:noMultiLvlLbl val="0"/>
      </c:catAx>
      <c:valAx>
        <c:axId val="2680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0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283-F347-8EF8-33E6CC26EE47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283-F347-8EF8-33E6CC26E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142080"/>
        <c:axId val="268143616"/>
      </c:lineChart>
      <c:catAx>
        <c:axId val="26814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143616"/>
        <c:crosses val="autoZero"/>
        <c:auto val="1"/>
        <c:lblAlgn val="ctr"/>
        <c:lblOffset val="100"/>
        <c:noMultiLvlLbl val="0"/>
      </c:catAx>
      <c:valAx>
        <c:axId val="268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1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3</xdr:col>
          <xdr:colOff>0</xdr:colOff>
          <xdr:row>0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2</xdr:col>
          <xdr:colOff>3098800</xdr:colOff>
          <xdr:row>0</xdr:row>
          <xdr:rowOff>342900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2" name="Diagram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2</xdr:col>
          <xdr:colOff>3098800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6" name="Diagram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CP55"/>
  <sheetViews>
    <sheetView zoomScale="140" zoomScaleNormal="14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5" sqref="E5"/>
    </sheetView>
  </sheetViews>
  <sheetFormatPr baseColWidth="10" defaultColWidth="8.83203125" defaultRowHeight="15" x14ac:dyDescent="0.2"/>
  <cols>
    <col min="1" max="1" width="2.33203125" style="63" customWidth="1"/>
    <col min="2" max="2" width="5.5" style="64" customWidth="1"/>
    <col min="3" max="3" width="45.33203125" style="63" customWidth="1"/>
    <col min="4" max="5" width="9.83203125" style="63" customWidth="1"/>
    <col min="6" max="7" width="8.83203125" style="63" hidden="1" customWidth="1"/>
    <col min="8" max="8" width="9.83203125" style="63" customWidth="1"/>
    <col min="9" max="10" width="8.83203125" style="63" hidden="1" customWidth="1"/>
    <col min="11" max="11" width="9.83203125" style="63" customWidth="1"/>
    <col min="12" max="13" width="8.83203125" style="63" hidden="1" customWidth="1"/>
    <col min="14" max="14" width="9.83203125" style="63" customWidth="1"/>
    <col min="15" max="16" width="8.83203125" style="63" hidden="1" customWidth="1"/>
    <col min="17" max="17" width="9.83203125" style="63" customWidth="1"/>
    <col min="18" max="19" width="8.83203125" style="63" hidden="1" customWidth="1"/>
    <col min="20" max="20" width="9.83203125" style="63" customWidth="1"/>
    <col min="21" max="22" width="8.83203125" style="63" hidden="1" customWidth="1"/>
    <col min="23" max="23" width="9.83203125" style="63" customWidth="1"/>
    <col min="24" max="25" width="8.83203125" style="63" hidden="1" customWidth="1"/>
    <col min="26" max="26" width="9.83203125" style="63" customWidth="1"/>
    <col min="27" max="28" width="8.83203125" style="63" hidden="1" customWidth="1"/>
    <col min="29" max="29" width="9.83203125" style="63" customWidth="1"/>
    <col min="30" max="31" width="8.83203125" style="63" hidden="1" customWidth="1"/>
    <col min="32" max="32" width="9.83203125" style="63" customWidth="1"/>
    <col min="33" max="34" width="8.83203125" style="63" hidden="1" customWidth="1"/>
    <col min="35" max="35" width="9.83203125" style="63" customWidth="1"/>
    <col min="36" max="37" width="8.83203125" style="63" hidden="1" customWidth="1"/>
    <col min="38" max="38" width="9.83203125" style="63" customWidth="1"/>
    <col min="39" max="40" width="8.83203125" style="63" hidden="1" customWidth="1"/>
    <col min="41" max="41" width="8.83203125" style="69" customWidth="1"/>
    <col min="42" max="44" width="10.5" style="63" customWidth="1"/>
    <col min="45" max="45" width="16.5" style="63" customWidth="1"/>
    <col min="46" max="46" width="10.1640625" style="63" bestFit="1" customWidth="1"/>
    <col min="47" max="47" width="11.6640625" style="63" bestFit="1" customWidth="1"/>
    <col min="48" max="48" width="9.33203125" style="63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1:84" ht="35" customHeight="1" x14ac:dyDescent="0.3">
      <c r="E1" s="63">
        <v>1</v>
      </c>
      <c r="F1" s="65">
        <v>1</v>
      </c>
      <c r="I1" s="34">
        <v>2</v>
      </c>
      <c r="J1" s="66"/>
      <c r="K1" s="66"/>
      <c r="L1" s="67" t="s">
        <v>20</v>
      </c>
      <c r="M1" s="68"/>
      <c r="N1" s="68"/>
      <c r="O1" s="68"/>
      <c r="AW1" s="10"/>
      <c r="AX1" s="41" t="s">
        <v>21</v>
      </c>
      <c r="AY1" s="40">
        <f>12-I1</f>
        <v>10</v>
      </c>
    </row>
    <row r="2" spans="1:84" s="3" customFormat="1" x14ac:dyDescent="0.2">
      <c r="A2" s="70"/>
      <c r="B2" s="71" t="s">
        <v>38</v>
      </c>
      <c r="C2" s="70"/>
      <c r="D2" s="72" t="s">
        <v>3</v>
      </c>
      <c r="E2" s="73" t="s">
        <v>14</v>
      </c>
      <c r="F2" s="74"/>
      <c r="G2" s="75"/>
      <c r="H2" s="73" t="s">
        <v>15</v>
      </c>
      <c r="I2" s="76"/>
      <c r="J2" s="75"/>
      <c r="K2" s="73" t="s">
        <v>16</v>
      </c>
      <c r="L2" s="74"/>
      <c r="M2" s="75"/>
      <c r="N2" s="73" t="s">
        <v>17</v>
      </c>
      <c r="O2" s="74"/>
      <c r="P2" s="75"/>
      <c r="Q2" s="73" t="s">
        <v>0</v>
      </c>
      <c r="R2" s="74"/>
      <c r="S2" s="75"/>
      <c r="T2" s="73" t="s">
        <v>18</v>
      </c>
      <c r="U2" s="74"/>
      <c r="V2" s="75"/>
      <c r="W2" s="73" t="s">
        <v>8</v>
      </c>
      <c r="X2" s="74"/>
      <c r="Y2" s="75"/>
      <c r="Z2" s="73" t="s">
        <v>9</v>
      </c>
      <c r="AA2" s="74"/>
      <c r="AB2" s="75"/>
      <c r="AC2" s="73" t="s">
        <v>10</v>
      </c>
      <c r="AD2" s="74"/>
      <c r="AE2" s="75"/>
      <c r="AF2" s="73" t="s">
        <v>11</v>
      </c>
      <c r="AG2" s="74"/>
      <c r="AH2" s="75"/>
      <c r="AI2" s="73" t="s">
        <v>12</v>
      </c>
      <c r="AJ2" s="74"/>
      <c r="AK2" s="75"/>
      <c r="AL2" s="73" t="s">
        <v>13</v>
      </c>
      <c r="AM2" s="74"/>
      <c r="AN2" s="74"/>
      <c r="AO2" s="77"/>
      <c r="AP2" s="78" t="s">
        <v>107</v>
      </c>
      <c r="AQ2" s="79"/>
      <c r="AR2" s="77"/>
      <c r="AS2" s="80"/>
      <c r="AT2" s="80"/>
      <c r="AU2" s="80" t="s">
        <v>103</v>
      </c>
      <c r="AV2" s="81"/>
      <c r="AW2" s="58" t="s">
        <v>22</v>
      </c>
      <c r="AX2" s="58"/>
      <c r="AY2" s="60"/>
      <c r="AZ2" s="58"/>
      <c r="BA2" s="58"/>
      <c r="BB2" s="58"/>
      <c r="BC2" s="58"/>
      <c r="BD2" s="58"/>
      <c r="BE2" s="58"/>
      <c r="BF2" s="58"/>
      <c r="BG2" s="58"/>
      <c r="BH2" s="59"/>
      <c r="BI2" s="57" t="s">
        <v>101</v>
      </c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9"/>
      <c r="BU2" s="57" t="s">
        <v>102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9"/>
    </row>
    <row r="3" spans="1:84" s="3" customFormat="1" x14ac:dyDescent="0.2">
      <c r="A3" s="70"/>
      <c r="B3" s="64" t="s">
        <v>110</v>
      </c>
      <c r="C3" s="70" t="s">
        <v>111</v>
      </c>
      <c r="D3" s="70"/>
      <c r="E3" s="82" t="s">
        <v>39</v>
      </c>
      <c r="F3" s="83" t="s">
        <v>2</v>
      </c>
      <c r="G3" s="84" t="s">
        <v>1</v>
      </c>
      <c r="H3" s="82" t="s">
        <v>40</v>
      </c>
      <c r="I3" s="83" t="s">
        <v>2</v>
      </c>
      <c r="J3" s="84" t="s">
        <v>1</v>
      </c>
      <c r="K3" s="82" t="s">
        <v>41</v>
      </c>
      <c r="L3" s="83" t="s">
        <v>2</v>
      </c>
      <c r="M3" s="84" t="s">
        <v>1</v>
      </c>
      <c r="N3" s="82" t="s">
        <v>42</v>
      </c>
      <c r="O3" s="83" t="s">
        <v>2</v>
      </c>
      <c r="P3" s="84" t="s">
        <v>1</v>
      </c>
      <c r="Q3" s="82" t="s">
        <v>43</v>
      </c>
      <c r="R3" s="83" t="s">
        <v>2</v>
      </c>
      <c r="S3" s="84" t="s">
        <v>1</v>
      </c>
      <c r="T3" s="82" t="s">
        <v>44</v>
      </c>
      <c r="U3" s="83" t="s">
        <v>2</v>
      </c>
      <c r="V3" s="84" t="s">
        <v>1</v>
      </c>
      <c r="W3" s="82" t="s">
        <v>45</v>
      </c>
      <c r="X3" s="83" t="s">
        <v>2</v>
      </c>
      <c r="Y3" s="84" t="s">
        <v>1</v>
      </c>
      <c r="Z3" s="82" t="s">
        <v>46</v>
      </c>
      <c r="AA3" s="83" t="s">
        <v>2</v>
      </c>
      <c r="AB3" s="84" t="s">
        <v>1</v>
      </c>
      <c r="AC3" s="82" t="s">
        <v>47</v>
      </c>
      <c r="AD3" s="83" t="s">
        <v>2</v>
      </c>
      <c r="AE3" s="84" t="s">
        <v>1</v>
      </c>
      <c r="AF3" s="82" t="s">
        <v>48</v>
      </c>
      <c r="AG3" s="83" t="s">
        <v>2</v>
      </c>
      <c r="AH3" s="84" t="s">
        <v>1</v>
      </c>
      <c r="AI3" s="82" t="s">
        <v>49</v>
      </c>
      <c r="AJ3" s="83" t="s">
        <v>2</v>
      </c>
      <c r="AK3" s="84" t="s">
        <v>1</v>
      </c>
      <c r="AL3" s="85" t="s">
        <v>50</v>
      </c>
      <c r="AM3" s="86" t="s">
        <v>2</v>
      </c>
      <c r="AN3" s="86" t="s">
        <v>1</v>
      </c>
      <c r="AO3" s="87" t="s">
        <v>99</v>
      </c>
      <c r="AP3" s="88" t="s">
        <v>100</v>
      </c>
      <c r="AQ3" s="88" t="s">
        <v>26</v>
      </c>
      <c r="AR3" s="89"/>
      <c r="AS3" s="90"/>
      <c r="AT3" s="91" t="s">
        <v>109</v>
      </c>
      <c r="AU3" s="88" t="s">
        <v>19</v>
      </c>
      <c r="AV3" s="92" t="s">
        <v>26</v>
      </c>
      <c r="AW3" s="3">
        <v>1</v>
      </c>
      <c r="AX3" s="3">
        <v>2</v>
      </c>
      <c r="AY3" s="3">
        <v>3</v>
      </c>
      <c r="AZ3" s="3">
        <v>4</v>
      </c>
      <c r="BA3" s="3">
        <v>5</v>
      </c>
      <c r="BB3" s="3">
        <v>6</v>
      </c>
      <c r="BC3" s="3">
        <v>7</v>
      </c>
      <c r="BD3" s="3">
        <v>8</v>
      </c>
      <c r="BE3" s="3">
        <v>9</v>
      </c>
      <c r="BF3" s="3">
        <v>10</v>
      </c>
      <c r="BG3" s="3">
        <v>11</v>
      </c>
      <c r="BH3" s="3">
        <v>12</v>
      </c>
      <c r="BI3" s="3">
        <v>1</v>
      </c>
      <c r="BJ3" s="3">
        <v>2</v>
      </c>
      <c r="BK3" s="3">
        <v>3</v>
      </c>
      <c r="BL3" s="3">
        <v>4</v>
      </c>
      <c r="BM3" s="3">
        <v>5</v>
      </c>
      <c r="BN3" s="3">
        <v>6</v>
      </c>
      <c r="BO3" s="3">
        <v>7</v>
      </c>
      <c r="BP3" s="3">
        <v>8</v>
      </c>
      <c r="BQ3" s="3">
        <v>9</v>
      </c>
      <c r="BR3" s="3">
        <v>10</v>
      </c>
      <c r="BS3" s="3">
        <v>11</v>
      </c>
      <c r="BT3" s="3">
        <v>12</v>
      </c>
      <c r="BU3" s="3">
        <v>1</v>
      </c>
      <c r="BV3" s="3">
        <v>2</v>
      </c>
      <c r="BW3" s="3">
        <v>3</v>
      </c>
      <c r="BX3" s="3">
        <v>4</v>
      </c>
      <c r="BY3" s="3">
        <v>5</v>
      </c>
      <c r="BZ3" s="3">
        <v>6</v>
      </c>
      <c r="CA3" s="3">
        <v>7</v>
      </c>
      <c r="CB3" s="3">
        <v>8</v>
      </c>
      <c r="CC3" s="3">
        <v>9</v>
      </c>
      <c r="CD3" s="3">
        <v>10</v>
      </c>
      <c r="CE3" s="3">
        <v>11</v>
      </c>
      <c r="CF3" s="3">
        <v>12</v>
      </c>
    </row>
    <row r="4" spans="1:84" s="3" customFormat="1" x14ac:dyDescent="0.2">
      <c r="A4" s="70"/>
      <c r="B4" s="64"/>
      <c r="C4" s="70" t="s">
        <v>89</v>
      </c>
      <c r="D4" s="70" t="s">
        <v>3</v>
      </c>
      <c r="E4" s="14"/>
      <c r="F4" s="19"/>
      <c r="G4" s="93">
        <f>F4-E4</f>
        <v>0</v>
      </c>
      <c r="H4" s="14"/>
      <c r="I4" s="19"/>
      <c r="J4" s="93">
        <f>I4-H4</f>
        <v>0</v>
      </c>
      <c r="K4" s="14"/>
      <c r="L4" s="19"/>
      <c r="M4" s="93">
        <f t="shared" ref="M4:M14" si="0">L4-K4</f>
        <v>0</v>
      </c>
      <c r="N4" s="14"/>
      <c r="O4" s="19"/>
      <c r="P4" s="93">
        <f t="shared" ref="P4:P14" si="1">O4-N4</f>
        <v>0</v>
      </c>
      <c r="Q4" s="14"/>
      <c r="R4" s="19"/>
      <c r="S4" s="93">
        <f t="shared" ref="S4:S14" si="2">R4-Q4</f>
        <v>0</v>
      </c>
      <c r="T4" s="14"/>
      <c r="U4" s="19"/>
      <c r="V4" s="93">
        <f t="shared" ref="V4:V14" si="3">U4-T4</f>
        <v>0</v>
      </c>
      <c r="W4" s="14"/>
      <c r="X4" s="19"/>
      <c r="Y4" s="93">
        <f t="shared" ref="Y4:Y14" si="4">X4-W4</f>
        <v>0</v>
      </c>
      <c r="Z4" s="14"/>
      <c r="AA4" s="19"/>
      <c r="AB4" s="93">
        <f t="shared" ref="AB4:AB14" si="5">AA4-Z4</f>
        <v>0</v>
      </c>
      <c r="AC4" s="14"/>
      <c r="AD4" s="19"/>
      <c r="AE4" s="93">
        <f t="shared" ref="AE4:AE14" si="6">AD4-AC4</f>
        <v>0</v>
      </c>
      <c r="AF4" s="14"/>
      <c r="AG4" s="19"/>
      <c r="AH4" s="93">
        <f t="shared" ref="AH4:AH14" si="7">AG4-AF4</f>
        <v>0</v>
      </c>
      <c r="AI4" s="14"/>
      <c r="AJ4" s="19"/>
      <c r="AK4" s="93">
        <f t="shared" ref="AK4:AK14" si="8">AJ4-AI4</f>
        <v>0</v>
      </c>
      <c r="AL4" s="14"/>
      <c r="AM4" s="19"/>
      <c r="AN4" s="93">
        <f t="shared" ref="AN4:AN14" si="9">AM4-AL4</f>
        <v>0</v>
      </c>
      <c r="AO4" s="94">
        <f t="shared" ref="AO4:AO14" si="10">INDEX(BI4:BT4,1,$I$1)</f>
        <v>0</v>
      </c>
      <c r="AP4" s="95">
        <f t="shared" ref="AP4:AP14" si="11">INDEX(BU4:CF4,1,$I$1)</f>
        <v>0</v>
      </c>
      <c r="AQ4" s="96">
        <f>AP4-AO4</f>
        <v>0</v>
      </c>
      <c r="AR4" s="97" t="str">
        <f t="shared" ref="AR4" si="12">C4</f>
        <v>OMSÆTNING I ALT</v>
      </c>
      <c r="AS4" s="70"/>
      <c r="AT4" s="96"/>
      <c r="AU4" s="98">
        <f>INDEX(AW4:BH4,1,$I$1)</f>
        <v>0</v>
      </c>
      <c r="AV4" s="96">
        <f>AU4-AT4</f>
        <v>0</v>
      </c>
      <c r="AW4" s="3">
        <f>AL4+AI4+AF4+AC4+Z4+W4+T4+Q4+N4+K4+H4+F4</f>
        <v>0</v>
      </c>
      <c r="AX4" s="3">
        <f>AL4+AI4+AF4+AC4+Z4+W4+T4+Q4+N4+K4+I4+F4</f>
        <v>0</v>
      </c>
      <c r="AY4" s="3">
        <f>AL4+AI4+AF4+AC4+Z4+W4+T4+Q4+N4+L4+I4+F4</f>
        <v>0</v>
      </c>
      <c r="AZ4" s="3">
        <f>AL4+AI4+AF4+AC4+Z4+W4+T4+Q4+O4+L4+I4+F4</f>
        <v>0</v>
      </c>
      <c r="BA4" s="3">
        <f>AL4+AI4+AF4+AC4+Z4+W4+T4+R4+O4+L4+I4+F4</f>
        <v>0</v>
      </c>
      <c r="BB4" s="3">
        <f>AL4+AI4+AF4+AC4+Z4+W4+U4+R4+O4+L4+I4+F4</f>
        <v>0</v>
      </c>
      <c r="BC4" s="3">
        <f>AL4+AI4+AF4+AC4+Z4+X4+U4+R4+O4+L4+I4+F4</f>
        <v>0</v>
      </c>
      <c r="BD4" s="3">
        <f>AL4+AI4+AF4+AC4+AA4+X4+U4+R4+O4+L4+I4+F4</f>
        <v>0</v>
      </c>
      <c r="BE4" s="3">
        <f>AL4+AI4+AF4+AD4+AA4+X4+U4+R4+O4+L4+I4+F4</f>
        <v>0</v>
      </c>
      <c r="BF4" s="3">
        <f>AL4+AI4+AG4+AD4+AA4+X4+U4+R4+O4+L4+I4+F4</f>
        <v>0</v>
      </c>
      <c r="BG4" s="3">
        <f>AL4+AJ4+AG4+AD4+AA4+X4+U4+R4+O4+L4+I4+F4</f>
        <v>0</v>
      </c>
      <c r="BH4" s="3">
        <f>AM4+AJ4+AG4+AD4+AA4+X4+U4+R4+O4+L4+I4+F4</f>
        <v>0</v>
      </c>
      <c r="BI4" s="3">
        <f>E4</f>
        <v>0</v>
      </c>
      <c r="BJ4" s="3">
        <f>BI4+H4</f>
        <v>0</v>
      </c>
      <c r="BK4" s="3">
        <f>BJ4+K4</f>
        <v>0</v>
      </c>
      <c r="BL4" s="3">
        <f>BK4+N4</f>
        <v>0</v>
      </c>
      <c r="BM4" s="3">
        <f>BL4+Q4</f>
        <v>0</v>
      </c>
      <c r="BN4" s="3">
        <f>BM4+T4</f>
        <v>0</v>
      </c>
      <c r="BO4" s="3">
        <f>BN4+W4</f>
        <v>0</v>
      </c>
      <c r="BP4" s="3">
        <f>BO4+Z4</f>
        <v>0</v>
      </c>
      <c r="BQ4" s="3">
        <f>BP4+AC4</f>
        <v>0</v>
      </c>
      <c r="BR4" s="3">
        <f>+BQ4+AF4</f>
        <v>0</v>
      </c>
      <c r="BS4" s="3">
        <f>+BR4+AI4</f>
        <v>0</v>
      </c>
      <c r="BT4" s="3">
        <f>BS4+AL4</f>
        <v>0</v>
      </c>
      <c r="BU4" s="3">
        <f>F4</f>
        <v>0</v>
      </c>
      <c r="BV4" s="3">
        <f>BU4+I4</f>
        <v>0</v>
      </c>
      <c r="BW4" s="3">
        <f>BV4+L4</f>
        <v>0</v>
      </c>
      <c r="BX4" s="3">
        <f>BW4+O4</f>
        <v>0</v>
      </c>
      <c r="BY4" s="3">
        <f>BX4+R4</f>
        <v>0</v>
      </c>
      <c r="BZ4" s="3">
        <f>BY4+U4</f>
        <v>0</v>
      </c>
      <c r="CA4" s="3">
        <f>BZ4+X4</f>
        <v>0</v>
      </c>
      <c r="CB4" s="3">
        <f>CA4+AA4</f>
        <v>0</v>
      </c>
      <c r="CC4" s="3">
        <f>CB4+AD4</f>
        <v>0</v>
      </c>
      <c r="CD4" s="3">
        <f>+CC4+AG4</f>
        <v>0</v>
      </c>
      <c r="CE4" s="3">
        <f>+CD4+AJ4</f>
        <v>0</v>
      </c>
      <c r="CF4" s="3">
        <f>CE4+AM4</f>
        <v>0</v>
      </c>
    </row>
    <row r="5" spans="1:84" s="3" customFormat="1" x14ac:dyDescent="0.2">
      <c r="A5" s="70"/>
      <c r="B5" s="64"/>
      <c r="C5" s="70" t="s">
        <v>108</v>
      </c>
      <c r="D5" s="70" t="s">
        <v>3</v>
      </c>
      <c r="E5" s="14"/>
      <c r="F5" s="19"/>
      <c r="G5" s="93">
        <f t="shared" ref="G5:G14" si="13">F5-E5</f>
        <v>0</v>
      </c>
      <c r="H5" s="14"/>
      <c r="I5" s="19"/>
      <c r="J5" s="93">
        <f t="shared" ref="J5:J6" si="14">I5-H5</f>
        <v>0</v>
      </c>
      <c r="K5" s="14"/>
      <c r="L5" s="19"/>
      <c r="M5" s="93">
        <f t="shared" si="0"/>
        <v>0</v>
      </c>
      <c r="N5" s="14"/>
      <c r="O5" s="19"/>
      <c r="P5" s="93">
        <f t="shared" si="1"/>
        <v>0</v>
      </c>
      <c r="Q5" s="14"/>
      <c r="R5" s="19"/>
      <c r="S5" s="93">
        <f t="shared" si="2"/>
        <v>0</v>
      </c>
      <c r="T5" s="14"/>
      <c r="U5" s="19"/>
      <c r="V5" s="93">
        <f t="shared" si="3"/>
        <v>0</v>
      </c>
      <c r="W5" s="14"/>
      <c r="X5" s="19"/>
      <c r="Y5" s="93">
        <f t="shared" si="4"/>
        <v>0</v>
      </c>
      <c r="Z5" s="14"/>
      <c r="AA5" s="19"/>
      <c r="AB5" s="93">
        <f t="shared" si="5"/>
        <v>0</v>
      </c>
      <c r="AC5" s="14"/>
      <c r="AD5" s="19"/>
      <c r="AE5" s="93">
        <f t="shared" si="6"/>
        <v>0</v>
      </c>
      <c r="AF5" s="14"/>
      <c r="AG5" s="19"/>
      <c r="AH5" s="93">
        <f t="shared" si="7"/>
        <v>0</v>
      </c>
      <c r="AI5" s="14"/>
      <c r="AJ5" s="19"/>
      <c r="AK5" s="93">
        <f t="shared" si="8"/>
        <v>0</v>
      </c>
      <c r="AL5" s="14"/>
      <c r="AM5" s="19"/>
      <c r="AN5" s="93">
        <f t="shared" si="9"/>
        <v>0</v>
      </c>
      <c r="AO5" s="94">
        <f t="shared" si="10"/>
        <v>0</v>
      </c>
      <c r="AP5" s="95">
        <f t="shared" si="11"/>
        <v>0</v>
      </c>
      <c r="AQ5" s="96">
        <f t="shared" ref="AQ5:AQ6" si="15">AP5-AO5</f>
        <v>0</v>
      </c>
      <c r="AR5" s="97" t="str">
        <f t="shared" ref="AR5:AR12" si="16">C5</f>
        <v xml:space="preserve">   SUM AF FRØ</v>
      </c>
      <c r="AS5" s="70"/>
      <c r="AT5" s="96"/>
      <c r="AU5" s="98">
        <f>INDEX(AW5:BH5,1,$I$1)</f>
        <v>0</v>
      </c>
      <c r="AV5" s="96">
        <f>AU5-AT5</f>
        <v>0</v>
      </c>
      <c r="AW5" s="3">
        <f>AL5+AI5+AF5+AC5+Z5+W5+T5+Q5+N5+K5+H5+F5</f>
        <v>0</v>
      </c>
      <c r="AX5" s="3">
        <f>AL5+AI5+AF5+AC5+Z5+W5+T5+Q5+N5+K5+I5+F5</f>
        <v>0</v>
      </c>
      <c r="AY5" s="3">
        <f>AL5+AI5+AF5+AC5+Z5+W5+T5+Q5+N5+L5+I5+F5</f>
        <v>0</v>
      </c>
      <c r="AZ5" s="3">
        <f>AL5+AI5+AF5+AC5+Z5+W5+T5+Q5+O5+L5+I5+F5</f>
        <v>0</v>
      </c>
      <c r="BA5" s="3">
        <f>AL5+AI5+AF5+AC5+Z5+W5+T5+R5+O5+L5+I5+F5</f>
        <v>0</v>
      </c>
      <c r="BB5" s="3">
        <f>AL5+AI5+AF5+AC5+Z5+W5+U5+R5+O5+L5+I5+F5</f>
        <v>0</v>
      </c>
      <c r="BC5" s="3">
        <f>AL5+AI5+AF5+AC5+Z5+X5+U5+R5+O5+L5+I5+F5</f>
        <v>0</v>
      </c>
      <c r="BD5" s="3">
        <f>AL5+AI5+AF5+AC5+AA5+X5+U5+R5+O5+L5+I5+F5</f>
        <v>0</v>
      </c>
      <c r="BE5" s="3">
        <f>AL5+AI5+AF5+AD5+AA5+X5+U5+R5+O5+L5+I5+F5</f>
        <v>0</v>
      </c>
      <c r="BF5" s="3">
        <f>AL5+AI5+AG5+AD5+AA5+X5+U5+R5+O5+L5+I5+F5</f>
        <v>0</v>
      </c>
      <c r="BG5" s="3">
        <f>AL5+AJ5+AG5+AD5+AA5+X5+U5+R5+O5+L5+I5+F5</f>
        <v>0</v>
      </c>
      <c r="BH5" s="3">
        <f>AM5+AJ5+AG5+AD5+AA5+X5+U5+R5+O5+L5+I5+F5</f>
        <v>0</v>
      </c>
      <c r="BI5" s="3">
        <f>E5</f>
        <v>0</v>
      </c>
      <c r="BJ5" s="3">
        <f>BI5+H5</f>
        <v>0</v>
      </c>
      <c r="BK5" s="3">
        <f>BJ5+K5</f>
        <v>0</v>
      </c>
      <c r="BL5" s="3">
        <f>BK5+N5</f>
        <v>0</v>
      </c>
      <c r="BM5" s="3">
        <f>BL5+Q5</f>
        <v>0</v>
      </c>
      <c r="BN5" s="3">
        <f>BM5+T5</f>
        <v>0</v>
      </c>
      <c r="BO5" s="3">
        <f>BN5+W5</f>
        <v>0</v>
      </c>
      <c r="BP5" s="3">
        <f>BO5+Z5</f>
        <v>0</v>
      </c>
      <c r="BQ5" s="3">
        <f>BP5+AC5</f>
        <v>0</v>
      </c>
      <c r="BR5" s="3">
        <f>+BQ5+AF5</f>
        <v>0</v>
      </c>
      <c r="BS5" s="3">
        <f>+BR5+AI5</f>
        <v>0</v>
      </c>
      <c r="BT5" s="3">
        <f>BS5+AL5</f>
        <v>0</v>
      </c>
      <c r="BU5" s="3">
        <f>F5</f>
        <v>0</v>
      </c>
      <c r="BV5" s="3">
        <f>BU5+I5</f>
        <v>0</v>
      </c>
      <c r="BW5" s="3">
        <f>BV5+L5</f>
        <v>0</v>
      </c>
      <c r="BX5" s="3">
        <f>BW5+O5</f>
        <v>0</v>
      </c>
      <c r="BY5" s="3">
        <f>BX5+R5</f>
        <v>0</v>
      </c>
      <c r="BZ5" s="3">
        <f>BY5+U5</f>
        <v>0</v>
      </c>
      <c r="CA5" s="3">
        <f>BZ5+X5</f>
        <v>0</v>
      </c>
      <c r="CB5" s="3">
        <f>CA5+AA5</f>
        <v>0</v>
      </c>
      <c r="CC5" s="3">
        <f>CB5+AD5</f>
        <v>0</v>
      </c>
      <c r="CD5" s="3">
        <f>+CC5+AG5</f>
        <v>0</v>
      </c>
      <c r="CE5" s="3">
        <f>+CD5+AJ5</f>
        <v>0</v>
      </c>
      <c r="CF5" s="3">
        <f>CE5+AM5</f>
        <v>0</v>
      </c>
    </row>
    <row r="6" spans="1:84" s="3" customFormat="1" x14ac:dyDescent="0.2">
      <c r="A6" s="70"/>
      <c r="B6" s="64"/>
      <c r="C6" s="70" t="s">
        <v>90</v>
      </c>
      <c r="D6" s="70" t="s">
        <v>3</v>
      </c>
      <c r="E6" s="14"/>
      <c r="F6" s="19"/>
      <c r="G6" s="93">
        <f t="shared" si="13"/>
        <v>0</v>
      </c>
      <c r="H6" s="14"/>
      <c r="I6" s="19"/>
      <c r="J6" s="93">
        <f t="shared" si="14"/>
        <v>0</v>
      </c>
      <c r="K6" s="14"/>
      <c r="L6" s="19"/>
      <c r="M6" s="93">
        <f t="shared" si="0"/>
        <v>0</v>
      </c>
      <c r="N6" s="14"/>
      <c r="O6" s="19"/>
      <c r="P6" s="93">
        <f t="shared" si="1"/>
        <v>0</v>
      </c>
      <c r="Q6" s="14"/>
      <c r="R6" s="19"/>
      <c r="S6" s="93">
        <f t="shared" si="2"/>
        <v>0</v>
      </c>
      <c r="T6" s="14"/>
      <c r="U6" s="19"/>
      <c r="V6" s="93">
        <f t="shared" si="3"/>
        <v>0</v>
      </c>
      <c r="W6" s="14"/>
      <c r="X6" s="19"/>
      <c r="Y6" s="93">
        <f t="shared" si="4"/>
        <v>0</v>
      </c>
      <c r="Z6" s="14"/>
      <c r="AA6" s="19"/>
      <c r="AB6" s="93">
        <f t="shared" si="5"/>
        <v>0</v>
      </c>
      <c r="AC6" s="14"/>
      <c r="AD6" s="19"/>
      <c r="AE6" s="93">
        <f t="shared" si="6"/>
        <v>0</v>
      </c>
      <c r="AF6" s="14"/>
      <c r="AG6" s="19"/>
      <c r="AH6" s="93">
        <f t="shared" si="7"/>
        <v>0</v>
      </c>
      <c r="AI6" s="14"/>
      <c r="AJ6" s="19"/>
      <c r="AK6" s="93">
        <f t="shared" si="8"/>
        <v>0</v>
      </c>
      <c r="AL6" s="14"/>
      <c r="AM6" s="19"/>
      <c r="AN6" s="93">
        <f t="shared" si="9"/>
        <v>0</v>
      </c>
      <c r="AO6" s="94">
        <f t="shared" si="10"/>
        <v>0</v>
      </c>
      <c r="AP6" s="95">
        <f t="shared" si="11"/>
        <v>0</v>
      </c>
      <c r="AQ6" s="96">
        <f t="shared" si="15"/>
        <v>0</v>
      </c>
      <c r="AR6" s="97" t="str">
        <f t="shared" si="16"/>
        <v>VAREFORBRUG</v>
      </c>
      <c r="AS6" s="70"/>
      <c r="AT6" s="96"/>
      <c r="AU6" s="98">
        <f>INDEX(AW6:BH6,1,$I$1)</f>
        <v>0</v>
      </c>
      <c r="AV6" s="96">
        <f>AU6-AT6</f>
        <v>0</v>
      </c>
      <c r="AW6" s="3">
        <f>AL6+AI6+AF6+AC6+Z6+W6+T6+Q6+N6+K6+H6+F6</f>
        <v>0</v>
      </c>
      <c r="AX6" s="3">
        <f>AL6+AI6+AF6+AC6+Z6+W6+T6+Q6+N6+K6+I6+F6</f>
        <v>0</v>
      </c>
      <c r="AY6" s="3">
        <f>AL6+AI6+AF6+AC6+Z6+W6+T6+Q6+N6+L6+I6+F6</f>
        <v>0</v>
      </c>
      <c r="AZ6" s="3">
        <f>AL6+AI6+AF6+AC6+Z6+W6+T6+Q6+O6+L6+I6+F6</f>
        <v>0</v>
      </c>
      <c r="BA6" s="3">
        <f>AL6+AI6+AF6+AC6+Z6+W6+T6+R6+O6+L6+I6+F6</f>
        <v>0</v>
      </c>
      <c r="BB6" s="3">
        <f>AL6+AI6+AF6+AC6+Z6+W6+U6+R6+O6+L6+I6+F6</f>
        <v>0</v>
      </c>
      <c r="BC6" s="3">
        <f>AL6+AI6+AF6+AC6+Z6+X6+U6+R6+O6+L6+I6+F6</f>
        <v>0</v>
      </c>
      <c r="BD6" s="3">
        <f>AL6+AI6+AF6+AC6+AA6+X6+U6+R6+O6+L6+I6+F6</f>
        <v>0</v>
      </c>
      <c r="BE6" s="3">
        <f>AL6+AI6+AF6+AD6+AA6+X6+U6+R6+O6+L6+I6+F6</f>
        <v>0</v>
      </c>
      <c r="BF6" s="3">
        <f>AL6+AI6+AG6+AD6+AA6+X6+U6+R6+O6+L6+I6+F6</f>
        <v>0</v>
      </c>
      <c r="BG6" s="3">
        <f>AL6+AJ6+AG6+AD6+AA6+X6+U6+R6+O6+L6+I6+F6</f>
        <v>0</v>
      </c>
      <c r="BH6" s="3">
        <f>AM6+AJ6+AG6+AD6+AA6+X6+U6+R6+O6+L6+I6+F6</f>
        <v>0</v>
      </c>
      <c r="BI6" s="3">
        <f>E6</f>
        <v>0</v>
      </c>
      <c r="BJ6" s="3">
        <f>BI6+H6</f>
        <v>0</v>
      </c>
      <c r="BK6" s="3">
        <f>BJ6+K6</f>
        <v>0</v>
      </c>
      <c r="BL6" s="3">
        <f>BK6+N6</f>
        <v>0</v>
      </c>
      <c r="BM6" s="3">
        <f>BL6+Q6</f>
        <v>0</v>
      </c>
      <c r="BN6" s="3">
        <f>BM6+T6</f>
        <v>0</v>
      </c>
      <c r="BO6" s="3">
        <f>BN6+W6</f>
        <v>0</v>
      </c>
      <c r="BP6" s="3">
        <f>BO6+Z6</f>
        <v>0</v>
      </c>
      <c r="BQ6" s="3">
        <f>BP6+AC6</f>
        <v>0</v>
      </c>
      <c r="BR6" s="3">
        <f>+BQ6+AF6</f>
        <v>0</v>
      </c>
      <c r="BS6" s="3">
        <f>+BR6+AI6</f>
        <v>0</v>
      </c>
      <c r="BT6" s="3">
        <f>BS6+AL6</f>
        <v>0</v>
      </c>
      <c r="BU6" s="3">
        <f>F6</f>
        <v>0</v>
      </c>
      <c r="BV6" s="3">
        <f>BU6+I6</f>
        <v>0</v>
      </c>
      <c r="BW6" s="3">
        <f>BV6+L6</f>
        <v>0</v>
      </c>
      <c r="BX6" s="3">
        <f>BW6+O6</f>
        <v>0</v>
      </c>
      <c r="BY6" s="3">
        <f>BX6+R6</f>
        <v>0</v>
      </c>
      <c r="BZ6" s="3">
        <f>BY6+U6</f>
        <v>0</v>
      </c>
      <c r="CA6" s="3">
        <f>BZ6+X6</f>
        <v>0</v>
      </c>
      <c r="CB6" s="3">
        <f>CA6+AA6</f>
        <v>0</v>
      </c>
      <c r="CC6" s="3">
        <f>CB6+AD6</f>
        <v>0</v>
      </c>
      <c r="CD6" s="3">
        <f>+CC6+AG6</f>
        <v>0</v>
      </c>
      <c r="CE6" s="3">
        <f>+CD6+AJ6</f>
        <v>0</v>
      </c>
      <c r="CF6" s="3">
        <f>CE6+AM6</f>
        <v>0</v>
      </c>
    </row>
    <row r="7" spans="1:84" s="4" customFormat="1" x14ac:dyDescent="0.2">
      <c r="A7" s="72"/>
      <c r="B7" s="71"/>
      <c r="C7" s="72" t="s">
        <v>91</v>
      </c>
      <c r="D7" s="72"/>
      <c r="E7" s="99">
        <f>SUM(E4:E6)</f>
        <v>0</v>
      </c>
      <c r="F7" s="72">
        <f>SUM(F4:F6)</f>
        <v>0</v>
      </c>
      <c r="G7" s="93">
        <f t="shared" si="13"/>
        <v>0</v>
      </c>
      <c r="H7" s="99">
        <f>SUM(H4:H6)</f>
        <v>0</v>
      </c>
      <c r="I7" s="72">
        <f>SUM(I4:I6)</f>
        <v>0</v>
      </c>
      <c r="J7" s="100">
        <f>I7-H7</f>
        <v>0</v>
      </c>
      <c r="K7" s="99">
        <f>SUM(K4:K6)</f>
        <v>0</v>
      </c>
      <c r="L7" s="72">
        <f>SUM(L4:L6)</f>
        <v>0</v>
      </c>
      <c r="M7" s="100">
        <f t="shared" si="0"/>
        <v>0</v>
      </c>
      <c r="N7" s="99">
        <f>SUM(N4:N6)</f>
        <v>0</v>
      </c>
      <c r="O7" s="72">
        <f>SUM(O4:O6)</f>
        <v>0</v>
      </c>
      <c r="P7" s="100">
        <f t="shared" si="1"/>
        <v>0</v>
      </c>
      <c r="Q7" s="99">
        <f>SUM(Q4:Q6)</f>
        <v>0</v>
      </c>
      <c r="R7" s="72">
        <f>SUM(R4:R6)</f>
        <v>0</v>
      </c>
      <c r="S7" s="100">
        <f t="shared" si="2"/>
        <v>0</v>
      </c>
      <c r="T7" s="99">
        <f>SUM(T4:T6)</f>
        <v>0</v>
      </c>
      <c r="U7" s="72">
        <f>SUM(U4:U6)</f>
        <v>0</v>
      </c>
      <c r="V7" s="100">
        <f t="shared" si="3"/>
        <v>0</v>
      </c>
      <c r="W7" s="99">
        <f>SUM(W4:W6)</f>
        <v>0</v>
      </c>
      <c r="X7" s="72">
        <f>SUM(X4:X6)</f>
        <v>0</v>
      </c>
      <c r="Y7" s="100">
        <f t="shared" si="4"/>
        <v>0</v>
      </c>
      <c r="Z7" s="99">
        <f>SUM(Z4:Z6)</f>
        <v>0</v>
      </c>
      <c r="AA7" s="72">
        <f>SUM(AA4:AA6)</f>
        <v>0</v>
      </c>
      <c r="AB7" s="100">
        <f t="shared" si="5"/>
        <v>0</v>
      </c>
      <c r="AC7" s="99">
        <f>SUM(AC4:AC6)</f>
        <v>0</v>
      </c>
      <c r="AD7" s="72">
        <f>SUM(AD4:AD6)</f>
        <v>0</v>
      </c>
      <c r="AE7" s="100">
        <f t="shared" si="6"/>
        <v>0</v>
      </c>
      <c r="AF7" s="99">
        <f>SUM(AF4:AF6)</f>
        <v>0</v>
      </c>
      <c r="AG7" s="72">
        <f>SUM(AG4:AG6)</f>
        <v>0</v>
      </c>
      <c r="AH7" s="100">
        <f t="shared" si="7"/>
        <v>0</v>
      </c>
      <c r="AI7" s="99">
        <f>SUM(AI4:AI6)</f>
        <v>0</v>
      </c>
      <c r="AJ7" s="72">
        <f>SUM(AJ4:AJ6)</f>
        <v>0</v>
      </c>
      <c r="AK7" s="100">
        <f t="shared" si="8"/>
        <v>0</v>
      </c>
      <c r="AL7" s="99">
        <f>SUM(AL4:AL6)</f>
        <v>0</v>
      </c>
      <c r="AM7" s="72">
        <f>SUM(AM4:AM6)</f>
        <v>0</v>
      </c>
      <c r="AN7" s="100">
        <f t="shared" si="9"/>
        <v>0</v>
      </c>
      <c r="AO7" s="101">
        <f t="shared" si="10"/>
        <v>0</v>
      </c>
      <c r="AP7" s="101">
        <f t="shared" si="11"/>
        <v>0</v>
      </c>
      <c r="AQ7" s="101">
        <f>SUM(AQ4:AQ6)</f>
        <v>0</v>
      </c>
      <c r="AR7" s="99" t="str">
        <f t="shared" si="16"/>
        <v>DÆKNINGSBIDRAG</v>
      </c>
      <c r="AS7" s="72"/>
      <c r="AT7" s="101">
        <f>SUM(AT4:AT6)</f>
        <v>0</v>
      </c>
      <c r="AU7" s="100">
        <f>SUM(AU4:AU6)</f>
        <v>0</v>
      </c>
      <c r="AV7" s="101">
        <f>SUM(AV4:AV6)</f>
        <v>0</v>
      </c>
      <c r="AW7" s="4">
        <f>SUM(AW4:AW6)</f>
        <v>0</v>
      </c>
      <c r="AX7" s="4">
        <f>SUM(AX4:AX6)</f>
        <v>0</v>
      </c>
      <c r="AY7" s="4">
        <f t="shared" ref="AY7:BH7" si="17">SUM(AY4:AY6)</f>
        <v>0</v>
      </c>
      <c r="AZ7" s="4">
        <f t="shared" si="17"/>
        <v>0</v>
      </c>
      <c r="BA7" s="4">
        <f t="shared" si="17"/>
        <v>0</v>
      </c>
      <c r="BB7" s="4">
        <f t="shared" si="17"/>
        <v>0</v>
      </c>
      <c r="BC7" s="4">
        <f t="shared" si="17"/>
        <v>0</v>
      </c>
      <c r="BD7" s="4">
        <f t="shared" si="17"/>
        <v>0</v>
      </c>
      <c r="BE7" s="4">
        <f t="shared" si="17"/>
        <v>0</v>
      </c>
      <c r="BF7" s="4">
        <f t="shared" si="17"/>
        <v>0</v>
      </c>
      <c r="BG7" s="4">
        <f t="shared" si="17"/>
        <v>0</v>
      </c>
      <c r="BH7" s="4">
        <f t="shared" si="17"/>
        <v>0</v>
      </c>
      <c r="BI7" s="4">
        <f>E7</f>
        <v>0</v>
      </c>
      <c r="BJ7" s="4">
        <f>BI7+H7</f>
        <v>0</v>
      </c>
      <c r="BK7" s="4">
        <f>BJ7+K7</f>
        <v>0</v>
      </c>
      <c r="BL7" s="4">
        <f>BK7+N7</f>
        <v>0</v>
      </c>
      <c r="BM7" s="4">
        <f>BL7+Q7</f>
        <v>0</v>
      </c>
      <c r="BN7" s="4">
        <f>BM7+T7</f>
        <v>0</v>
      </c>
      <c r="BO7" s="4">
        <f>BN7+W7</f>
        <v>0</v>
      </c>
      <c r="BP7" s="4">
        <f>BO7+Z7</f>
        <v>0</v>
      </c>
      <c r="BQ7" s="4">
        <f>BP7+AC7</f>
        <v>0</v>
      </c>
      <c r="BR7" s="4">
        <f>+BQ7+AF7</f>
        <v>0</v>
      </c>
      <c r="BS7" s="4">
        <f>+BR7+AI7</f>
        <v>0</v>
      </c>
      <c r="BT7" s="4">
        <f>BS7+AL7</f>
        <v>0</v>
      </c>
      <c r="BU7" s="4">
        <f>F7</f>
        <v>0</v>
      </c>
      <c r="BV7" s="4">
        <f>BU7+I7</f>
        <v>0</v>
      </c>
      <c r="BW7" s="4">
        <f>BV7+L7</f>
        <v>0</v>
      </c>
      <c r="BX7" s="4">
        <f>BW7+O7</f>
        <v>0</v>
      </c>
      <c r="BY7" s="4">
        <f>BX7+R7</f>
        <v>0</v>
      </c>
      <c r="BZ7" s="4">
        <f>BY7+U7</f>
        <v>0</v>
      </c>
      <c r="CA7" s="4">
        <f>BZ7+X7</f>
        <v>0</v>
      </c>
      <c r="CB7" s="4">
        <f>CA7+AA7</f>
        <v>0</v>
      </c>
      <c r="CC7" s="4">
        <f>CB7+AD7</f>
        <v>0</v>
      </c>
      <c r="CD7" s="4">
        <f>+CC7+AG7</f>
        <v>0</v>
      </c>
      <c r="CE7" s="4">
        <f>+CD7+AJ7</f>
        <v>0</v>
      </c>
      <c r="CF7" s="4">
        <f>CE7+AM7</f>
        <v>0</v>
      </c>
    </row>
    <row r="8" spans="1:84" s="3" customFormat="1" x14ac:dyDescent="0.2">
      <c r="A8" s="70"/>
      <c r="B8" s="64"/>
      <c r="C8" s="70" t="s">
        <v>92</v>
      </c>
      <c r="D8" s="70"/>
      <c r="E8" s="14"/>
      <c r="F8" s="19"/>
      <c r="G8" s="93">
        <f t="shared" si="13"/>
        <v>0</v>
      </c>
      <c r="H8" s="14"/>
      <c r="I8" s="19"/>
      <c r="J8" s="93">
        <f t="shared" ref="J8:J14" si="18">I8-H8</f>
        <v>0</v>
      </c>
      <c r="K8" s="14"/>
      <c r="L8" s="19"/>
      <c r="M8" s="93">
        <f t="shared" si="0"/>
        <v>0</v>
      </c>
      <c r="N8" s="14"/>
      <c r="O8" s="19"/>
      <c r="P8" s="93">
        <f t="shared" si="1"/>
        <v>0</v>
      </c>
      <c r="Q8" s="14"/>
      <c r="R8" s="19"/>
      <c r="S8" s="93">
        <f t="shared" si="2"/>
        <v>0</v>
      </c>
      <c r="T8" s="14"/>
      <c r="U8" s="19"/>
      <c r="V8" s="93">
        <f t="shared" si="3"/>
        <v>0</v>
      </c>
      <c r="W8" s="14"/>
      <c r="X8" s="19"/>
      <c r="Y8" s="93">
        <f t="shared" si="4"/>
        <v>0</v>
      </c>
      <c r="Z8" s="14"/>
      <c r="AA8" s="19"/>
      <c r="AB8" s="93">
        <f t="shared" si="5"/>
        <v>0</v>
      </c>
      <c r="AC8" s="14"/>
      <c r="AD8" s="19"/>
      <c r="AE8" s="93">
        <f t="shared" si="6"/>
        <v>0</v>
      </c>
      <c r="AF8" s="14"/>
      <c r="AG8" s="19"/>
      <c r="AH8" s="93">
        <f t="shared" si="7"/>
        <v>0</v>
      </c>
      <c r="AI8" s="14"/>
      <c r="AJ8" s="19"/>
      <c r="AK8" s="93">
        <f t="shared" si="8"/>
        <v>0</v>
      </c>
      <c r="AL8" s="14"/>
      <c r="AM8" s="19"/>
      <c r="AN8" s="93">
        <f t="shared" si="9"/>
        <v>0</v>
      </c>
      <c r="AO8" s="102">
        <f t="shared" si="10"/>
        <v>0</v>
      </c>
      <c r="AP8" s="95">
        <f t="shared" si="11"/>
        <v>0</v>
      </c>
      <c r="AQ8" s="96">
        <f t="shared" ref="AQ8:AQ14" si="19">AP8-AO8</f>
        <v>0</v>
      </c>
      <c r="AR8" s="97" t="str">
        <f t="shared" si="16"/>
        <v>LØNNINGER MV. I ALT</v>
      </c>
      <c r="AS8" s="70"/>
      <c r="AT8" s="96"/>
      <c r="AU8" s="98">
        <f t="shared" ref="AU8:AU14" si="20">INDEX(AW8:BH8,1,$I$1)</f>
        <v>0</v>
      </c>
      <c r="AV8" s="96">
        <f>AU8-AT8</f>
        <v>0</v>
      </c>
      <c r="AW8" s="3">
        <f>AL8+AI8+AF8+AC8+Z8+W8+T8+Q8+N8+K8+H8+F8</f>
        <v>0</v>
      </c>
      <c r="AX8" s="3">
        <f>AL8+AI8+AF8+AC8+Z8+W8+T8+Q8+N8+K8+I8+F8</f>
        <v>0</v>
      </c>
      <c r="AY8" s="3">
        <f>AL8+AI8+AF8+AC8+Z8+W8+T8+Q8+N8+L8+I8+F8</f>
        <v>0</v>
      </c>
      <c r="AZ8" s="3">
        <f>AL8+AI8+AF8+AC8+Z8+W8+T8+Q8+O8+L8+I8+F8</f>
        <v>0</v>
      </c>
      <c r="BA8" s="3">
        <f>AL8+AI8+AF8+AC8+Z8+W8+T8+R8+O8+L8+I8+F8</f>
        <v>0</v>
      </c>
      <c r="BB8" s="3">
        <f>AL8+AI8+AF8+AC8+Z8+W8+U8+R8+O8+L8+I8+F8</f>
        <v>0</v>
      </c>
      <c r="BC8" s="3">
        <f>AL8+AI8+AF8+AC8+Z8+X8+U8+R8+O8+L8+I8+F8</f>
        <v>0</v>
      </c>
      <c r="BD8" s="3">
        <f>AL8+AI8+AF8+AC8+AA8+X8+U8+R8+O8+L8+I8+F8</f>
        <v>0</v>
      </c>
      <c r="BE8" s="3">
        <f>AL8+AI8+AF8+AD8+AA8+X8+U8+R8+O8+L8+I8+F8</f>
        <v>0</v>
      </c>
      <c r="BF8" s="3">
        <f>AL8+AI8+AG8+AD8+AA8+X8+U8+R8+O8+L8+I8+F8</f>
        <v>0</v>
      </c>
      <c r="BG8" s="3">
        <f>AL8+AJ8+AG8+AD8+AA8+X8+U8+R8+O8+L8+I8+F8</f>
        <v>0</v>
      </c>
      <c r="BH8" s="3">
        <f>AM8+AJ8+AG8+AD8+AA8+X8+U8+R8+O8+L8+I8+F8</f>
        <v>0</v>
      </c>
      <c r="BI8" s="3">
        <f>E8</f>
        <v>0</v>
      </c>
      <c r="BJ8" s="3">
        <f>BI8+H8</f>
        <v>0</v>
      </c>
      <c r="BK8" s="3">
        <f>BJ8+K8</f>
        <v>0</v>
      </c>
      <c r="BL8" s="3">
        <f>BK8+N8</f>
        <v>0</v>
      </c>
      <c r="BM8" s="3">
        <f>BL8+Q8</f>
        <v>0</v>
      </c>
      <c r="BN8" s="3">
        <f>BM8+T8</f>
        <v>0</v>
      </c>
      <c r="BO8" s="3">
        <f>BN8+W8</f>
        <v>0</v>
      </c>
      <c r="BP8" s="3">
        <f>BO8+Z8</f>
        <v>0</v>
      </c>
      <c r="BQ8" s="3">
        <f>BP8+AC8</f>
        <v>0</v>
      </c>
      <c r="BR8" s="3">
        <f>+BQ8+AF8</f>
        <v>0</v>
      </c>
      <c r="BS8" s="3">
        <f>+BR8+AI8</f>
        <v>0</v>
      </c>
      <c r="BT8" s="3">
        <f>BS8+AL8</f>
        <v>0</v>
      </c>
      <c r="BU8" s="3">
        <f>F8</f>
        <v>0</v>
      </c>
      <c r="BV8" s="3">
        <f>BU8+I8</f>
        <v>0</v>
      </c>
      <c r="BW8" s="3">
        <f>BV8+L8</f>
        <v>0</v>
      </c>
      <c r="BX8" s="3">
        <f>BW8+O8</f>
        <v>0</v>
      </c>
      <c r="BY8" s="3">
        <f>BX8+R8</f>
        <v>0</v>
      </c>
      <c r="BZ8" s="3">
        <f>BY8+U8</f>
        <v>0</v>
      </c>
      <c r="CA8" s="3">
        <f>BZ8+X8</f>
        <v>0</v>
      </c>
      <c r="CB8" s="3">
        <f>CA8+AA8</f>
        <v>0</v>
      </c>
      <c r="CC8" s="3">
        <f>CB8+AD8</f>
        <v>0</v>
      </c>
      <c r="CD8" s="3">
        <f>+CC8+AG8</f>
        <v>0</v>
      </c>
      <c r="CE8" s="3">
        <f>+CD8+AJ8</f>
        <v>0</v>
      </c>
      <c r="CF8" s="3">
        <f>CE8+AM8</f>
        <v>0</v>
      </c>
    </row>
    <row r="9" spans="1:84" s="3" customFormat="1" x14ac:dyDescent="0.2">
      <c r="A9" s="70"/>
      <c r="B9" s="64"/>
      <c r="C9" s="70" t="s">
        <v>93</v>
      </c>
      <c r="D9" s="70" t="s">
        <v>3</v>
      </c>
      <c r="E9" s="14"/>
      <c r="F9" s="19"/>
      <c r="G9" s="93">
        <f t="shared" si="13"/>
        <v>0</v>
      </c>
      <c r="H9" s="14"/>
      <c r="I9" s="19"/>
      <c r="J9" s="93">
        <f t="shared" si="18"/>
        <v>0</v>
      </c>
      <c r="K9" s="14"/>
      <c r="L9" s="19"/>
      <c r="M9" s="93">
        <f t="shared" si="0"/>
        <v>0</v>
      </c>
      <c r="N9" s="14"/>
      <c r="O9" s="19"/>
      <c r="P9" s="93">
        <f t="shared" si="1"/>
        <v>0</v>
      </c>
      <c r="Q9" s="14"/>
      <c r="R9" s="19"/>
      <c r="S9" s="93">
        <f t="shared" si="2"/>
        <v>0</v>
      </c>
      <c r="T9" s="14"/>
      <c r="U9" s="19"/>
      <c r="V9" s="93">
        <f t="shared" si="3"/>
        <v>0</v>
      </c>
      <c r="W9" s="14"/>
      <c r="X9" s="19"/>
      <c r="Y9" s="93">
        <f t="shared" si="4"/>
        <v>0</v>
      </c>
      <c r="Z9" s="14"/>
      <c r="AA9" s="19"/>
      <c r="AB9" s="93">
        <f t="shared" si="5"/>
        <v>0</v>
      </c>
      <c r="AC9" s="14"/>
      <c r="AD9" s="19"/>
      <c r="AE9" s="93">
        <f t="shared" si="6"/>
        <v>0</v>
      </c>
      <c r="AF9" s="14"/>
      <c r="AG9" s="19"/>
      <c r="AH9" s="93">
        <f t="shared" si="7"/>
        <v>0</v>
      </c>
      <c r="AI9" s="14"/>
      <c r="AJ9" s="19"/>
      <c r="AK9" s="93">
        <f t="shared" si="8"/>
        <v>0</v>
      </c>
      <c r="AL9" s="14"/>
      <c r="AM9" s="19"/>
      <c r="AN9" s="93">
        <f t="shared" si="9"/>
        <v>0</v>
      </c>
      <c r="AO9" s="102">
        <f t="shared" si="10"/>
        <v>0</v>
      </c>
      <c r="AP9" s="95">
        <f t="shared" si="11"/>
        <v>0</v>
      </c>
      <c r="AQ9" s="96">
        <f t="shared" si="19"/>
        <v>0</v>
      </c>
      <c r="AR9" s="97" t="str">
        <f t="shared" si="16"/>
        <v>SALGSOMKOSTNINGER</v>
      </c>
      <c r="AS9" s="70"/>
      <c r="AT9" s="96"/>
      <c r="AU9" s="98">
        <f t="shared" si="20"/>
        <v>0</v>
      </c>
      <c r="AV9" s="96">
        <f>AU9-AT9</f>
        <v>0</v>
      </c>
      <c r="AW9" s="3">
        <f>AL9+AI9+AF9+AC9+Z9+W9+T9+Q9+N9+K9+H9+F9</f>
        <v>0</v>
      </c>
      <c r="AX9" s="3">
        <f>AL9+AI9+AF9+AC9+Z9+W9+T9+Q9+N9+K9+I9+F9</f>
        <v>0</v>
      </c>
      <c r="AY9" s="3">
        <f>AL9+AI9+AF9+AC9+Z9+W9+T9+Q9+N9+L9+I9+F9</f>
        <v>0</v>
      </c>
      <c r="AZ9" s="3">
        <f>AL9+AI9+AF9+AC9+Z9+W9+T9+Q9+O9+L9+I9+F9</f>
        <v>0</v>
      </c>
      <c r="BA9" s="3">
        <f>AL9+AI9+AF9+AC9+Z9+W9+T9+R9+O9+L9+I9+F9</f>
        <v>0</v>
      </c>
      <c r="BB9" s="3">
        <f>AL9+AI9+AF9+AC9+Z9+W9+U9+R9+O9+L9+I9+F9</f>
        <v>0</v>
      </c>
      <c r="BC9" s="3">
        <f>AL9+AI9+AF9+AC9+Z9+X9+U9+R9+O9+L9+I9+F9</f>
        <v>0</v>
      </c>
      <c r="BD9" s="3">
        <f>AL9+AI9+AF9+AC9+AA9+X9+U9+R9+O9+L9+I9+F9</f>
        <v>0</v>
      </c>
      <c r="BE9" s="3">
        <f>AL9+AI9+AF9+AD9+AA9+X9+U9+R9+O9+L9+I9+F9</f>
        <v>0</v>
      </c>
      <c r="BF9" s="3">
        <f>AL9+AI9+AG9+AD9+AA9+X9+U9+R9+O9+L9+I9+F9</f>
        <v>0</v>
      </c>
      <c r="BG9" s="3">
        <f>AL9+AJ9+AG9+AD9+AA9+X9+U9+R9+O9+L9+I9+F9</f>
        <v>0</v>
      </c>
      <c r="BH9" s="3">
        <f>AM9+AJ9+AG9+AD9+AA9+X9+U9+R9+O9+L9+I9+F9</f>
        <v>0</v>
      </c>
      <c r="BI9" s="3">
        <f>E9</f>
        <v>0</v>
      </c>
      <c r="BJ9" s="3">
        <f>BI9+H9</f>
        <v>0</v>
      </c>
      <c r="BK9" s="3">
        <f>BJ9+K9</f>
        <v>0</v>
      </c>
      <c r="BL9" s="3">
        <f>BK9+N9</f>
        <v>0</v>
      </c>
      <c r="BM9" s="3">
        <f>BL9+Q9</f>
        <v>0</v>
      </c>
      <c r="BN9" s="3">
        <f>BM9+T9</f>
        <v>0</v>
      </c>
      <c r="BO9" s="3">
        <f>BN9+W9</f>
        <v>0</v>
      </c>
      <c r="BP9" s="3">
        <f>BO9+Z9</f>
        <v>0</v>
      </c>
      <c r="BQ9" s="3">
        <f>BP9+AC9</f>
        <v>0</v>
      </c>
      <c r="BR9" s="3">
        <f>+BQ9+AF9</f>
        <v>0</v>
      </c>
      <c r="BS9" s="3">
        <f>+BR9+AI9</f>
        <v>0</v>
      </c>
      <c r="BT9" s="3">
        <f>BS9+AL9</f>
        <v>0</v>
      </c>
      <c r="BU9" s="3">
        <f>F9</f>
        <v>0</v>
      </c>
      <c r="BV9" s="3">
        <f>BU9+I9</f>
        <v>0</v>
      </c>
      <c r="BW9" s="3">
        <f>BV9+L9</f>
        <v>0</v>
      </c>
      <c r="BX9" s="3">
        <f>BW9+O9</f>
        <v>0</v>
      </c>
      <c r="BY9" s="3">
        <f>BX9+R9</f>
        <v>0</v>
      </c>
      <c r="BZ9" s="3">
        <f>BY9+U9</f>
        <v>0</v>
      </c>
      <c r="CA9" s="3">
        <f>BZ9+X9</f>
        <v>0</v>
      </c>
      <c r="CB9" s="3">
        <f>CA9+AA9</f>
        <v>0</v>
      </c>
      <c r="CC9" s="3">
        <f>CB9+AD9</f>
        <v>0</v>
      </c>
      <c r="CD9" s="3">
        <f>+CC9+AG9</f>
        <v>0</v>
      </c>
      <c r="CE9" s="3">
        <f>+CD9+AJ9</f>
        <v>0</v>
      </c>
      <c r="CF9" s="3">
        <f>CE9+AM9</f>
        <v>0</v>
      </c>
    </row>
    <row r="10" spans="1:84" s="3" customFormat="1" x14ac:dyDescent="0.2">
      <c r="A10" s="70"/>
      <c r="B10" s="64"/>
      <c r="C10" s="70" t="s">
        <v>94</v>
      </c>
      <c r="D10" s="70" t="s">
        <v>3</v>
      </c>
      <c r="E10" s="14"/>
      <c r="F10" s="19"/>
      <c r="G10" s="93">
        <f t="shared" si="13"/>
        <v>0</v>
      </c>
      <c r="H10" s="14"/>
      <c r="I10" s="19"/>
      <c r="J10" s="93">
        <f t="shared" si="18"/>
        <v>0</v>
      </c>
      <c r="K10" s="14"/>
      <c r="L10" s="19"/>
      <c r="M10" s="93">
        <f t="shared" si="0"/>
        <v>0</v>
      </c>
      <c r="N10" s="14"/>
      <c r="O10" s="19"/>
      <c r="P10" s="93">
        <f t="shared" si="1"/>
        <v>0</v>
      </c>
      <c r="Q10" s="14"/>
      <c r="R10" s="19"/>
      <c r="S10" s="93">
        <f t="shared" si="2"/>
        <v>0</v>
      </c>
      <c r="T10" s="14"/>
      <c r="U10" s="19"/>
      <c r="V10" s="93">
        <f t="shared" si="3"/>
        <v>0</v>
      </c>
      <c r="W10" s="14"/>
      <c r="X10" s="19"/>
      <c r="Y10" s="93">
        <f t="shared" si="4"/>
        <v>0</v>
      </c>
      <c r="Z10" s="14"/>
      <c r="AA10" s="19"/>
      <c r="AB10" s="93">
        <f t="shared" si="5"/>
        <v>0</v>
      </c>
      <c r="AC10" s="14"/>
      <c r="AD10" s="19"/>
      <c r="AE10" s="93">
        <f t="shared" si="6"/>
        <v>0</v>
      </c>
      <c r="AF10" s="14"/>
      <c r="AG10" s="19"/>
      <c r="AH10" s="93">
        <f t="shared" si="7"/>
        <v>0</v>
      </c>
      <c r="AI10" s="14"/>
      <c r="AJ10" s="19"/>
      <c r="AK10" s="93">
        <f t="shared" si="8"/>
        <v>0</v>
      </c>
      <c r="AL10" s="14"/>
      <c r="AM10" s="19"/>
      <c r="AN10" s="93">
        <f t="shared" si="9"/>
        <v>0</v>
      </c>
      <c r="AO10" s="102">
        <f t="shared" si="10"/>
        <v>0</v>
      </c>
      <c r="AP10" s="95">
        <f t="shared" si="11"/>
        <v>0</v>
      </c>
      <c r="AQ10" s="96">
        <f t="shared" si="19"/>
        <v>0</v>
      </c>
      <c r="AR10" s="97" t="str">
        <f t="shared" si="16"/>
        <v>LOKALEOMKOSTNINGER</v>
      </c>
      <c r="AS10" s="70"/>
      <c r="AT10" s="96"/>
      <c r="AU10" s="98">
        <f t="shared" si="20"/>
        <v>0</v>
      </c>
      <c r="AV10" s="96">
        <f>AU10-AT10</f>
        <v>0</v>
      </c>
      <c r="AW10" s="3">
        <f>AL10+AI10+AF10+AC10+Z10+W10+T10+Q10+N10+K10+H10+F10</f>
        <v>0</v>
      </c>
      <c r="AX10" s="3">
        <f>AL10+AI10+AF10+AC10+Z10+W10+T10+Q10+N10+K10+I10+F10</f>
        <v>0</v>
      </c>
      <c r="AY10" s="3">
        <f>AL10+AI10+AF10+AC10+Z10+W10+T10+Q10+N10+L10+I10+F10</f>
        <v>0</v>
      </c>
      <c r="AZ10" s="3">
        <f>AL10+AI10+AF10+AC10+Z10+W10+T10+Q10+O10+L10+I10+F10</f>
        <v>0</v>
      </c>
      <c r="BA10" s="3">
        <f>AL10+AI10+AF10+AC10+Z10+W10+T10+R10+O10+L10+I10+F10</f>
        <v>0</v>
      </c>
      <c r="BB10" s="3">
        <f>AL10+AI10+AF10+AC10+Z10+W10+U10+R10+O10+L10+I10+F10</f>
        <v>0</v>
      </c>
      <c r="BC10" s="3">
        <f>AL10+AI10+AF10+AC10+Z10+X10+U10+R10+O10+L10+I10+F10</f>
        <v>0</v>
      </c>
      <c r="BD10" s="3">
        <f>AL10+AI10+AF10+AC10+AA10+X10+U10+R10+O10+L10+I10+F10</f>
        <v>0</v>
      </c>
      <c r="BE10" s="3">
        <f>AL10+AI10+AF10+AD10+AA10+X10+U10+R10+O10+L10+I10+F10</f>
        <v>0</v>
      </c>
      <c r="BF10" s="3">
        <f>AL10+AI10+AG10+AD10+AA10+X10+U10+R10+O10+L10+I10+F10</f>
        <v>0</v>
      </c>
      <c r="BG10" s="3">
        <f>AL10+AJ10+AG10+AD10+AA10+X10+U10+R10+O10+L10+I10+F10</f>
        <v>0</v>
      </c>
      <c r="BH10" s="3">
        <f>AM10+AJ10+AG10+AD10+AA10+X10+U10+R10+O10+L10+I10+F10</f>
        <v>0</v>
      </c>
      <c r="BI10" s="3">
        <f>E10</f>
        <v>0</v>
      </c>
      <c r="BJ10" s="3">
        <f>BI10+H10</f>
        <v>0</v>
      </c>
      <c r="BK10" s="3">
        <f>BJ10+K10</f>
        <v>0</v>
      </c>
      <c r="BL10" s="3">
        <f>BK10+N10</f>
        <v>0</v>
      </c>
      <c r="BM10" s="3">
        <f>BL10+Q10</f>
        <v>0</v>
      </c>
      <c r="BN10" s="3">
        <f>BM10+T10</f>
        <v>0</v>
      </c>
      <c r="BO10" s="3">
        <f>BN10+W10</f>
        <v>0</v>
      </c>
      <c r="BP10" s="3">
        <f>BO10+Z10</f>
        <v>0</v>
      </c>
      <c r="BQ10" s="3">
        <f>BP10+AC10</f>
        <v>0</v>
      </c>
      <c r="BR10" s="3">
        <f>+BQ10+AF10</f>
        <v>0</v>
      </c>
      <c r="BS10" s="3">
        <f>+BR10+AI10</f>
        <v>0</v>
      </c>
      <c r="BT10" s="3">
        <f>BS10+AL10</f>
        <v>0</v>
      </c>
      <c r="BU10" s="3">
        <f>F10</f>
        <v>0</v>
      </c>
      <c r="BV10" s="3">
        <f>BU10+I10</f>
        <v>0</v>
      </c>
      <c r="BW10" s="3">
        <f>BV10+L10</f>
        <v>0</v>
      </c>
      <c r="BX10" s="3">
        <f>BW10+O10</f>
        <v>0</v>
      </c>
      <c r="BY10" s="3">
        <f>BX10+R10</f>
        <v>0</v>
      </c>
      <c r="BZ10" s="3">
        <f>BY10+U10</f>
        <v>0</v>
      </c>
      <c r="CA10" s="3">
        <f>BZ10+X10</f>
        <v>0</v>
      </c>
      <c r="CB10" s="3">
        <f>CA10+AA10</f>
        <v>0</v>
      </c>
      <c r="CC10" s="3">
        <f>CB10+AD10</f>
        <v>0</v>
      </c>
      <c r="CD10" s="3">
        <f>+CC10+AG10</f>
        <v>0</v>
      </c>
      <c r="CE10" s="3">
        <f>+CD10+AJ10</f>
        <v>0</v>
      </c>
      <c r="CF10" s="3">
        <f>CE10+AM10</f>
        <v>0</v>
      </c>
    </row>
    <row r="11" spans="1:84" s="3" customFormat="1" x14ac:dyDescent="0.2">
      <c r="A11" s="70"/>
      <c r="B11" s="64"/>
      <c r="C11" s="70" t="s">
        <v>95</v>
      </c>
      <c r="D11" s="70" t="s">
        <v>3</v>
      </c>
      <c r="E11" s="14"/>
      <c r="F11" s="19"/>
      <c r="G11" s="93">
        <f t="shared" si="13"/>
        <v>0</v>
      </c>
      <c r="H11" s="14"/>
      <c r="I11" s="19"/>
      <c r="J11" s="93">
        <f t="shared" si="18"/>
        <v>0</v>
      </c>
      <c r="K11" s="14"/>
      <c r="L11" s="19"/>
      <c r="M11" s="93">
        <f t="shared" si="0"/>
        <v>0</v>
      </c>
      <c r="N11" s="14"/>
      <c r="O11" s="19"/>
      <c r="P11" s="93">
        <f t="shared" si="1"/>
        <v>0</v>
      </c>
      <c r="Q11" s="14"/>
      <c r="R11" s="19"/>
      <c r="S11" s="93">
        <f t="shared" si="2"/>
        <v>0</v>
      </c>
      <c r="T11" s="14"/>
      <c r="U11" s="19"/>
      <c r="V11" s="93">
        <f t="shared" si="3"/>
        <v>0</v>
      </c>
      <c r="W11" s="14"/>
      <c r="X11" s="19"/>
      <c r="Y11" s="93">
        <f t="shared" si="4"/>
        <v>0</v>
      </c>
      <c r="Z11" s="14"/>
      <c r="AA11" s="19"/>
      <c r="AB11" s="93">
        <f t="shared" si="5"/>
        <v>0</v>
      </c>
      <c r="AC11" s="14"/>
      <c r="AD11" s="19"/>
      <c r="AE11" s="93">
        <f t="shared" si="6"/>
        <v>0</v>
      </c>
      <c r="AF11" s="14"/>
      <c r="AG11" s="19"/>
      <c r="AH11" s="93">
        <f t="shared" si="7"/>
        <v>0</v>
      </c>
      <c r="AI11" s="14"/>
      <c r="AJ11" s="19"/>
      <c r="AK11" s="93">
        <f t="shared" si="8"/>
        <v>0</v>
      </c>
      <c r="AL11" s="14"/>
      <c r="AM11" s="19"/>
      <c r="AN11" s="93">
        <f t="shared" si="9"/>
        <v>0</v>
      </c>
      <c r="AO11" s="102">
        <f t="shared" si="10"/>
        <v>0</v>
      </c>
      <c r="AP11" s="95">
        <f t="shared" si="11"/>
        <v>0</v>
      </c>
      <c r="AQ11" s="96">
        <f t="shared" si="19"/>
        <v>0</v>
      </c>
      <c r="AR11" s="97" t="str">
        <f t="shared" si="16"/>
        <v>TRANSPORTOMKOSTNINGER</v>
      </c>
      <c r="AS11" s="70"/>
      <c r="AT11" s="96"/>
      <c r="AU11" s="98">
        <f t="shared" si="20"/>
        <v>0</v>
      </c>
      <c r="AV11" s="96">
        <f>AU11-AT11</f>
        <v>0</v>
      </c>
      <c r="AW11" s="3">
        <f>AL11+AI11+AF11+AC11+Z11+W11+T11+Q11+N11+K11+H11+F11</f>
        <v>0</v>
      </c>
      <c r="AX11" s="3">
        <f>AL11+AI11+AF11+AC11+Z11+W11+T11+Q11+N11+K11+I11+F11</f>
        <v>0</v>
      </c>
      <c r="AY11" s="3">
        <f>AL11+AI11+AF11+AC11+Z11+W11+T11+Q11+N11+L11+I11+F11</f>
        <v>0</v>
      </c>
      <c r="AZ11" s="3">
        <f>AL11+AI11+AF11+AC11+Z11+W11+T11+Q11+O11+L11+I11+F11</f>
        <v>0</v>
      </c>
      <c r="BA11" s="3">
        <f>AL11+AI11+AF11+AC11+Z11+W11+T11+R11+O11+L11+I11+F11</f>
        <v>0</v>
      </c>
      <c r="BB11" s="3">
        <f>AL11+AI11+AF11+AC11+Z11+W11+U11+R11+O11+L11+I11+F11</f>
        <v>0</v>
      </c>
      <c r="BC11" s="3">
        <f>AL11+AI11+AF11+AC11+Z11+X11+U11+R11+O11+L11+I11+F11</f>
        <v>0</v>
      </c>
      <c r="BD11" s="3">
        <f>AL11+AI11+AF11+AC11+AA11+X11+U11+R11+O11+L11+I11+F11</f>
        <v>0</v>
      </c>
      <c r="BE11" s="3">
        <f>AL11+AI11+AF11+AD11+AA11+X11+U11+R11+O11+L11+I11+F11</f>
        <v>0</v>
      </c>
      <c r="BF11" s="3">
        <f>AL11+AI11+AG11+AD11+AA11+X11+U11+R11+O11+L11+I11+F11</f>
        <v>0</v>
      </c>
      <c r="BG11" s="3">
        <f>AL11+AJ11+AG11+AD11+AA11+X11+U11+R11+O11+L11+I11+F11</f>
        <v>0</v>
      </c>
      <c r="BH11" s="3">
        <f>AM11+AJ11+AG11+AD11+AA11+X11+U11+R11+O11+L11+I11+F11</f>
        <v>0</v>
      </c>
      <c r="BI11" s="3">
        <f>E11</f>
        <v>0</v>
      </c>
      <c r="BJ11" s="3">
        <f>BI11+H11</f>
        <v>0</v>
      </c>
      <c r="BK11" s="3">
        <f>BJ11+K11</f>
        <v>0</v>
      </c>
      <c r="BL11" s="3">
        <f>BK11+N11</f>
        <v>0</v>
      </c>
      <c r="BM11" s="3">
        <f>BL11+Q11</f>
        <v>0</v>
      </c>
      <c r="BN11" s="3">
        <f>BM11+T11</f>
        <v>0</v>
      </c>
      <c r="BO11" s="3">
        <f>BN11+W11</f>
        <v>0</v>
      </c>
      <c r="BP11" s="3">
        <f>BO11+Z11</f>
        <v>0</v>
      </c>
      <c r="BQ11" s="3">
        <f>BP11+AC11</f>
        <v>0</v>
      </c>
      <c r="BR11" s="3">
        <f>+BQ11+AF11</f>
        <v>0</v>
      </c>
      <c r="BS11" s="3">
        <f>+BR11+AI11</f>
        <v>0</v>
      </c>
      <c r="BT11" s="3">
        <f>BS11+AL11</f>
        <v>0</v>
      </c>
      <c r="BU11" s="3">
        <f>F11</f>
        <v>0</v>
      </c>
      <c r="BV11" s="3">
        <f>BU11+I11</f>
        <v>0</v>
      </c>
      <c r="BW11" s="3">
        <f>BV11+L11</f>
        <v>0</v>
      </c>
      <c r="BX11" s="3">
        <f>BW11+O11</f>
        <v>0</v>
      </c>
      <c r="BY11" s="3">
        <f>BX11+R11</f>
        <v>0</v>
      </c>
      <c r="BZ11" s="3">
        <f>BY11+U11</f>
        <v>0</v>
      </c>
      <c r="CA11" s="3">
        <f>BZ11+X11</f>
        <v>0</v>
      </c>
      <c r="CB11" s="3">
        <f>CA11+AA11</f>
        <v>0</v>
      </c>
      <c r="CC11" s="3">
        <f>CB11+AD11</f>
        <v>0</v>
      </c>
      <c r="CD11" s="3">
        <f>+CC11+AG11</f>
        <v>0</v>
      </c>
      <c r="CE11" s="3">
        <f>+CD11+AJ11</f>
        <v>0</v>
      </c>
      <c r="CF11" s="3">
        <f>CE11+AM11</f>
        <v>0</v>
      </c>
    </row>
    <row r="12" spans="1:84" s="3" customFormat="1" x14ac:dyDescent="0.2">
      <c r="A12" s="70"/>
      <c r="B12" s="64"/>
      <c r="C12" s="70" t="s">
        <v>96</v>
      </c>
      <c r="D12" s="70" t="s">
        <v>3</v>
      </c>
      <c r="E12" s="14"/>
      <c r="F12" s="19"/>
      <c r="G12" s="93">
        <f t="shared" si="13"/>
        <v>0</v>
      </c>
      <c r="H12" s="14"/>
      <c r="I12" s="19"/>
      <c r="J12" s="93">
        <f t="shared" si="18"/>
        <v>0</v>
      </c>
      <c r="K12" s="14"/>
      <c r="L12" s="19"/>
      <c r="M12" s="93">
        <f t="shared" si="0"/>
        <v>0</v>
      </c>
      <c r="N12" s="14"/>
      <c r="O12" s="19"/>
      <c r="P12" s="93">
        <f t="shared" si="1"/>
        <v>0</v>
      </c>
      <c r="Q12" s="14"/>
      <c r="R12" s="19"/>
      <c r="S12" s="93">
        <f t="shared" si="2"/>
        <v>0</v>
      </c>
      <c r="T12" s="14"/>
      <c r="U12" s="19"/>
      <c r="V12" s="93">
        <f t="shared" si="3"/>
        <v>0</v>
      </c>
      <c r="W12" s="14"/>
      <c r="X12" s="19"/>
      <c r="Y12" s="93">
        <f t="shared" si="4"/>
        <v>0</v>
      </c>
      <c r="Z12" s="14"/>
      <c r="AA12" s="19"/>
      <c r="AB12" s="93">
        <f t="shared" si="5"/>
        <v>0</v>
      </c>
      <c r="AC12" s="14"/>
      <c r="AD12" s="19"/>
      <c r="AE12" s="93">
        <f t="shared" si="6"/>
        <v>0</v>
      </c>
      <c r="AF12" s="14"/>
      <c r="AG12" s="19"/>
      <c r="AH12" s="93">
        <f t="shared" si="7"/>
        <v>0</v>
      </c>
      <c r="AI12" s="14"/>
      <c r="AJ12" s="19"/>
      <c r="AK12" s="93">
        <f t="shared" si="8"/>
        <v>0</v>
      </c>
      <c r="AL12" s="14"/>
      <c r="AM12" s="19"/>
      <c r="AN12" s="93">
        <f t="shared" si="9"/>
        <v>0</v>
      </c>
      <c r="AO12" s="102">
        <f t="shared" si="10"/>
        <v>0</v>
      </c>
      <c r="AP12" s="95">
        <f t="shared" si="11"/>
        <v>0</v>
      </c>
      <c r="AQ12" s="96">
        <f t="shared" si="19"/>
        <v>0</v>
      </c>
      <c r="AR12" s="97" t="str">
        <f t="shared" si="16"/>
        <v>ADMINISTRATION</v>
      </c>
      <c r="AS12" s="70"/>
      <c r="AT12" s="96"/>
      <c r="AU12" s="98">
        <f t="shared" si="20"/>
        <v>0</v>
      </c>
      <c r="AV12" s="96">
        <f>AU12-AT12</f>
        <v>0</v>
      </c>
      <c r="AW12" s="3">
        <f>AL12+AI12+AF12+AC12+Z12+W12+T12+Q12+N12+K12+H12+F12</f>
        <v>0</v>
      </c>
      <c r="AX12" s="3">
        <f>AL12+AI12+AF12+AC12+Z12+W12+T12+Q12+N12+K12+I12+F12</f>
        <v>0</v>
      </c>
      <c r="AY12" s="3">
        <f>AL12+AI12+AF12+AC12+Z12+W12+T12+Q12+N12+L12+I12+F12</f>
        <v>0</v>
      </c>
      <c r="AZ12" s="3">
        <f>AL12+AI12+AF12+AC12+Z12+W12+T12+Q12+O12+L12+I12+F12</f>
        <v>0</v>
      </c>
      <c r="BA12" s="3">
        <f>AL12+AI12+AF12+AC12+Z12+W12+T12+R12+O12+L12+I12+F12</f>
        <v>0</v>
      </c>
      <c r="BB12" s="3">
        <f>AL12+AI12+AF12+AC12+Z12+W12+U12+R12+O12+L12+I12+F12</f>
        <v>0</v>
      </c>
      <c r="BC12" s="3">
        <f>AL12+AI12+AF12+AC12+Z12+X12+U12+R12+O12+L12+I12+F12</f>
        <v>0</v>
      </c>
      <c r="BD12" s="3">
        <f>AL12+AI12+AF12+AC12+AA12+X12+U12+R12+O12+L12+I12+F12</f>
        <v>0</v>
      </c>
      <c r="BE12" s="3">
        <f>AL12+AI12+AF12+AD12+AA12+X12+U12+R12+O12+L12+I12+F12</f>
        <v>0</v>
      </c>
      <c r="BF12" s="3">
        <f>AL12+AI12+AG12+AD12+AA12+X12+U12+R12+O12+L12+I12+F12</f>
        <v>0</v>
      </c>
      <c r="BG12" s="3">
        <f>AL12+AJ12+AG12+AD12+AA12+X12+U12+R12+O12+L12+I12+F12</f>
        <v>0</v>
      </c>
      <c r="BH12" s="3">
        <f>AM12+AJ12+AG12+AD12+AA12+X12+U12+R12+O12+L12+I12+F12</f>
        <v>0</v>
      </c>
      <c r="BI12" s="3">
        <f>E12</f>
        <v>0</v>
      </c>
      <c r="BJ12" s="3">
        <f>BI12+H12</f>
        <v>0</v>
      </c>
      <c r="BK12" s="3">
        <f>BJ12+K12</f>
        <v>0</v>
      </c>
      <c r="BL12" s="3">
        <f>BK12+N12</f>
        <v>0</v>
      </c>
      <c r="BM12" s="3">
        <f>BL12+Q12</f>
        <v>0</v>
      </c>
      <c r="BN12" s="3">
        <f>BM12+T12</f>
        <v>0</v>
      </c>
      <c r="BO12" s="3">
        <f>BN12+W12</f>
        <v>0</v>
      </c>
      <c r="BP12" s="3">
        <f>BO12+Z12</f>
        <v>0</v>
      </c>
      <c r="BQ12" s="3">
        <f>BP12+AC12</f>
        <v>0</v>
      </c>
      <c r="BR12" s="3">
        <f>+BQ12+AF12</f>
        <v>0</v>
      </c>
      <c r="BS12" s="3">
        <f>+BR12+AI12</f>
        <v>0</v>
      </c>
      <c r="BT12" s="3">
        <f>BS12+AL12</f>
        <v>0</v>
      </c>
      <c r="BU12" s="3">
        <f>F12</f>
        <v>0</v>
      </c>
      <c r="BV12" s="3">
        <f>BU12+I12</f>
        <v>0</v>
      </c>
      <c r="BW12" s="3">
        <f>BV12+L12</f>
        <v>0</v>
      </c>
      <c r="BX12" s="3">
        <f>BW12+O12</f>
        <v>0</v>
      </c>
      <c r="BY12" s="3">
        <f>BX12+R12</f>
        <v>0</v>
      </c>
      <c r="BZ12" s="3">
        <f>BY12+U12</f>
        <v>0</v>
      </c>
      <c r="CA12" s="3">
        <f>BZ12+X12</f>
        <v>0</v>
      </c>
      <c r="CB12" s="3">
        <f>CA12+AA12</f>
        <v>0</v>
      </c>
      <c r="CC12" s="3">
        <f>CB12+AD12</f>
        <v>0</v>
      </c>
      <c r="CD12" s="3">
        <f>+CC12+AG12</f>
        <v>0</v>
      </c>
      <c r="CE12" s="3">
        <f>+CD12+AJ12</f>
        <v>0</v>
      </c>
      <c r="CF12" s="3">
        <f>CE12+AM12</f>
        <v>0</v>
      </c>
    </row>
    <row r="13" spans="1:84" s="3" customFormat="1" x14ac:dyDescent="0.2">
      <c r="A13" s="70"/>
      <c r="B13" s="64"/>
      <c r="C13" s="70" t="s">
        <v>97</v>
      </c>
      <c r="D13" s="70" t="s">
        <v>3</v>
      </c>
      <c r="E13" s="14"/>
      <c r="F13" s="19"/>
      <c r="G13" s="93">
        <f t="shared" si="13"/>
        <v>0</v>
      </c>
      <c r="H13" s="14"/>
      <c r="I13" s="19"/>
      <c r="J13" s="93">
        <f t="shared" si="18"/>
        <v>0</v>
      </c>
      <c r="K13" s="14"/>
      <c r="L13" s="19"/>
      <c r="M13" s="93">
        <f t="shared" si="0"/>
        <v>0</v>
      </c>
      <c r="N13" s="14"/>
      <c r="O13" s="19"/>
      <c r="P13" s="93">
        <f t="shared" si="1"/>
        <v>0</v>
      </c>
      <c r="Q13" s="14"/>
      <c r="R13" s="19"/>
      <c r="S13" s="93">
        <f t="shared" si="2"/>
        <v>0</v>
      </c>
      <c r="T13" s="14"/>
      <c r="U13" s="19"/>
      <c r="V13" s="93">
        <f t="shared" si="3"/>
        <v>0</v>
      </c>
      <c r="W13" s="14"/>
      <c r="X13" s="19"/>
      <c r="Y13" s="93">
        <f t="shared" si="4"/>
        <v>0</v>
      </c>
      <c r="Z13" s="14"/>
      <c r="AA13" s="19"/>
      <c r="AB13" s="93">
        <f t="shared" si="5"/>
        <v>0</v>
      </c>
      <c r="AC13" s="14"/>
      <c r="AD13" s="19"/>
      <c r="AE13" s="93">
        <f t="shared" si="6"/>
        <v>0</v>
      </c>
      <c r="AF13" s="14"/>
      <c r="AG13" s="19"/>
      <c r="AH13" s="93">
        <f t="shared" si="7"/>
        <v>0</v>
      </c>
      <c r="AI13" s="14"/>
      <c r="AJ13" s="19"/>
      <c r="AK13" s="93">
        <f t="shared" si="8"/>
        <v>0</v>
      </c>
      <c r="AL13" s="14"/>
      <c r="AM13" s="19"/>
      <c r="AN13" s="93">
        <f t="shared" si="9"/>
        <v>0</v>
      </c>
      <c r="AO13" s="102">
        <f t="shared" si="10"/>
        <v>0</v>
      </c>
      <c r="AP13" s="95">
        <f t="shared" si="11"/>
        <v>0</v>
      </c>
      <c r="AQ13" s="96">
        <f t="shared" si="19"/>
        <v>0</v>
      </c>
      <c r="AR13" s="97" t="str">
        <f t="shared" ref="AR13" si="21">C13</f>
        <v>AFSKRIVNINGER (Småanskaffelser)</v>
      </c>
      <c r="AS13" s="70"/>
      <c r="AT13" s="96"/>
      <c r="AU13" s="98">
        <f t="shared" si="20"/>
        <v>0</v>
      </c>
      <c r="AV13" s="96">
        <f>AU13-AT13</f>
        <v>0</v>
      </c>
      <c r="AW13" s="3">
        <f>AL13+AI13+AF13+AC13+Z13+W13+T13+Q13+N13+K13+H13+F13</f>
        <v>0</v>
      </c>
      <c r="AX13" s="3">
        <f>AL13+AI13+AF13+AC13+Z13+W13+T13+Q13+N13+K13+I13+F13</f>
        <v>0</v>
      </c>
      <c r="AY13" s="3">
        <f>AL13+AI13+AF13+AC13+Z13+W13+T13+Q13+N13+L13+I13+F13</f>
        <v>0</v>
      </c>
      <c r="AZ13" s="3">
        <f>AL13+AI13+AF13+AC13+Z13+W13+T13+Q13+O13+L13+I13+F13</f>
        <v>0</v>
      </c>
      <c r="BA13" s="3">
        <f>AL13+AI13+AF13+AC13+Z13+W13+T13+R13+O13+L13+I13+F13</f>
        <v>0</v>
      </c>
      <c r="BB13" s="3">
        <f>AL13+AI13+AF13+AC13+Z13+W13+U13+R13+O13+L13+I13+F13</f>
        <v>0</v>
      </c>
      <c r="BC13" s="3">
        <f>AL13+AI13+AF13+AC13+Z13+X13+U13+R13+O13+L13+I13+F13</f>
        <v>0</v>
      </c>
      <c r="BD13" s="3">
        <f>AL13+AI13+AF13+AC13+AA13+X13+U13+R13+O13+L13+I13+F13</f>
        <v>0</v>
      </c>
      <c r="BE13" s="3">
        <f>AL13+AI13+AF13+AD13+AA13+X13+U13+R13+O13+L13+I13+F13</f>
        <v>0</v>
      </c>
      <c r="BF13" s="3">
        <f>AL13+AI13+AG13+AD13+AA13+X13+U13+R13+O13+L13+I13+F13</f>
        <v>0</v>
      </c>
      <c r="BG13" s="3">
        <f>AL13+AJ13+AG13+AD13+AA13+X13+U13+R13+O13+L13+I13+F13</f>
        <v>0</v>
      </c>
      <c r="BH13" s="3">
        <f>AM13+AJ13+AG13+AD13+AA13+X13+U13+R13+O13+L13+I13+F13</f>
        <v>0</v>
      </c>
      <c r="BI13" s="3">
        <f>E13</f>
        <v>0</v>
      </c>
      <c r="BJ13" s="3">
        <f>BI13+H13</f>
        <v>0</v>
      </c>
      <c r="BK13" s="3">
        <f>BJ13+K13</f>
        <v>0</v>
      </c>
      <c r="BL13" s="3">
        <f>BK13+N13</f>
        <v>0</v>
      </c>
      <c r="BM13" s="3">
        <f>BL13+Q13</f>
        <v>0</v>
      </c>
      <c r="BN13" s="3">
        <f>BM13+T13</f>
        <v>0</v>
      </c>
      <c r="BO13" s="3">
        <f>BN13+W13</f>
        <v>0</v>
      </c>
      <c r="BP13" s="3">
        <f>BO13+Z13</f>
        <v>0</v>
      </c>
      <c r="BQ13" s="3">
        <f>BP13+AC13</f>
        <v>0</v>
      </c>
      <c r="BR13" s="3">
        <f>+BQ13+AF13</f>
        <v>0</v>
      </c>
      <c r="BS13" s="3">
        <f>+BR13+AI13</f>
        <v>0</v>
      </c>
      <c r="BT13" s="3">
        <f>BS13+AL13</f>
        <v>0</v>
      </c>
      <c r="BU13" s="3">
        <f>F13</f>
        <v>0</v>
      </c>
      <c r="BV13" s="3">
        <f>BU13+I13</f>
        <v>0</v>
      </c>
      <c r="BW13" s="3">
        <f>BV13+L13</f>
        <v>0</v>
      </c>
      <c r="BX13" s="3">
        <f>BW13+O13</f>
        <v>0</v>
      </c>
      <c r="BY13" s="3">
        <f>BX13+R13</f>
        <v>0</v>
      </c>
      <c r="BZ13" s="3">
        <f>BY13+U13</f>
        <v>0</v>
      </c>
      <c r="CA13" s="3">
        <f>BZ13+X13</f>
        <v>0</v>
      </c>
      <c r="CB13" s="3">
        <f>CA13+AA13</f>
        <v>0</v>
      </c>
      <c r="CC13" s="3">
        <f>CB13+AD13</f>
        <v>0</v>
      </c>
      <c r="CD13" s="3">
        <f>+CC13+AG13</f>
        <v>0</v>
      </c>
      <c r="CE13" s="3">
        <f>+CD13+AJ13</f>
        <v>0</v>
      </c>
      <c r="CF13" s="3">
        <f>CE13+AM13</f>
        <v>0</v>
      </c>
    </row>
    <row r="14" spans="1:84" s="3" customFormat="1" x14ac:dyDescent="0.2">
      <c r="A14" s="70"/>
      <c r="B14" s="64"/>
      <c r="C14" s="70" t="s">
        <v>98</v>
      </c>
      <c r="D14" s="70"/>
      <c r="E14" s="14"/>
      <c r="F14" s="19"/>
      <c r="G14" s="93">
        <f t="shared" si="13"/>
        <v>0</v>
      </c>
      <c r="H14" s="14"/>
      <c r="I14" s="19"/>
      <c r="J14" s="93">
        <f t="shared" si="18"/>
        <v>0</v>
      </c>
      <c r="K14" s="14"/>
      <c r="L14" s="19"/>
      <c r="M14" s="93">
        <f t="shared" si="0"/>
        <v>0</v>
      </c>
      <c r="N14" s="14"/>
      <c r="O14" s="19"/>
      <c r="P14" s="93">
        <f t="shared" si="1"/>
        <v>0</v>
      </c>
      <c r="Q14" s="14"/>
      <c r="R14" s="19"/>
      <c r="S14" s="93">
        <f t="shared" si="2"/>
        <v>0</v>
      </c>
      <c r="T14" s="14"/>
      <c r="U14" s="19"/>
      <c r="V14" s="93">
        <f t="shared" si="3"/>
        <v>0</v>
      </c>
      <c r="W14" s="14"/>
      <c r="X14" s="19"/>
      <c r="Y14" s="93">
        <f t="shared" si="4"/>
        <v>0</v>
      </c>
      <c r="Z14" s="14"/>
      <c r="AA14" s="19"/>
      <c r="AB14" s="93">
        <f t="shared" si="5"/>
        <v>0</v>
      </c>
      <c r="AC14" s="14"/>
      <c r="AD14" s="19"/>
      <c r="AE14" s="93">
        <f t="shared" si="6"/>
        <v>0</v>
      </c>
      <c r="AF14" s="14"/>
      <c r="AG14" s="19"/>
      <c r="AH14" s="93">
        <f t="shared" si="7"/>
        <v>0</v>
      </c>
      <c r="AI14" s="14"/>
      <c r="AJ14" s="19"/>
      <c r="AK14" s="93">
        <f t="shared" si="8"/>
        <v>0</v>
      </c>
      <c r="AL14" s="14"/>
      <c r="AM14" s="19"/>
      <c r="AN14" s="93">
        <f t="shared" si="9"/>
        <v>0</v>
      </c>
      <c r="AO14" s="102">
        <f t="shared" si="10"/>
        <v>0</v>
      </c>
      <c r="AP14" s="95">
        <f t="shared" si="11"/>
        <v>0</v>
      </c>
      <c r="AQ14" s="96">
        <f t="shared" si="19"/>
        <v>0</v>
      </c>
      <c r="AR14" s="97" t="str">
        <f t="shared" ref="AR14" si="22">C14</f>
        <v>RENTEUDGIFTER</v>
      </c>
      <c r="AS14" s="70"/>
      <c r="AT14" s="96"/>
      <c r="AU14" s="98">
        <f t="shared" si="20"/>
        <v>0</v>
      </c>
      <c r="AV14" s="96">
        <f>AU14-AT14</f>
        <v>0</v>
      </c>
      <c r="AW14" s="3">
        <f>AL14+AI14+AF14+AC14+Z14+W14+T14+Q14+N14+K14+H14+F14</f>
        <v>0</v>
      </c>
      <c r="AX14" s="3">
        <f>AL14+AI14+AF14+AC14+Z14+W14+T14+Q14+N14+K14+I14+F14</f>
        <v>0</v>
      </c>
      <c r="AY14" s="3">
        <f>AL14+AI14+AF14+AC14+Z14+W14+T14+Q14+N14+L14+I14+F14</f>
        <v>0</v>
      </c>
      <c r="AZ14" s="3">
        <f>AL14+AI14+AF14+AC14+Z14+W14+T14+Q14+O14+L14+I14+F14</f>
        <v>0</v>
      </c>
      <c r="BA14" s="3">
        <f>AL14+AI14+AF14+AC14+Z14+W14+T14+R14+O14+L14+I14+F14</f>
        <v>0</v>
      </c>
      <c r="BB14" s="3">
        <f>AL14+AI14+AF14+AC14+Z14+W14+U14+R14+O14+L14+I14+F14</f>
        <v>0</v>
      </c>
      <c r="BC14" s="3">
        <f>AL14+AI14+AF14+AC14+Z14+X14+U14+R14+O14+L14+I14+F14</f>
        <v>0</v>
      </c>
      <c r="BD14" s="3">
        <f>AL14+AI14+AF14+AC14+AA14+X14+U14+R14+O14+L14+I14+F14</f>
        <v>0</v>
      </c>
      <c r="BE14" s="3">
        <f>AL14+AI14+AF14+AD14+AA14+X14+U14+R14+O14+L14+I14+F14</f>
        <v>0</v>
      </c>
      <c r="BF14" s="3">
        <f>AL14+AI14+AG14+AD14+AA14+X14+U14+R14+O14+L14+I14+F14</f>
        <v>0</v>
      </c>
      <c r="BG14" s="3">
        <f>AL14+AJ14+AG14+AD14+AA14+X14+U14+R14+O14+L14+I14+F14</f>
        <v>0</v>
      </c>
      <c r="BH14" s="3">
        <f>AM14+AJ14+AG14+AD14+AA14+X14+U14+R14+O14+L14+I14+F14</f>
        <v>0</v>
      </c>
      <c r="BI14" s="3">
        <f>E14</f>
        <v>0</v>
      </c>
      <c r="BJ14" s="3">
        <f>BI14+H14</f>
        <v>0</v>
      </c>
      <c r="BK14" s="3">
        <f>BJ14+K14</f>
        <v>0</v>
      </c>
      <c r="BL14" s="3">
        <f>BK14+N14</f>
        <v>0</v>
      </c>
      <c r="BM14" s="3">
        <f>BL14+Q14</f>
        <v>0</v>
      </c>
      <c r="BN14" s="3">
        <f>BM14+T14</f>
        <v>0</v>
      </c>
      <c r="BO14" s="3">
        <f>BN14+W14</f>
        <v>0</v>
      </c>
      <c r="BP14" s="3">
        <f>BO14+Z14</f>
        <v>0</v>
      </c>
      <c r="BQ14" s="3">
        <f>BP14+AC14</f>
        <v>0</v>
      </c>
      <c r="BR14" s="3">
        <f>+BQ14+AF14</f>
        <v>0</v>
      </c>
      <c r="BS14" s="3">
        <f>+BR14+AI14</f>
        <v>0</v>
      </c>
      <c r="BT14" s="3">
        <f>BS14+AL14</f>
        <v>0</v>
      </c>
      <c r="BU14" s="3">
        <f>F14</f>
        <v>0</v>
      </c>
      <c r="BV14" s="3">
        <f>BU14+I14</f>
        <v>0</v>
      </c>
      <c r="BW14" s="3">
        <f>BV14+L14</f>
        <v>0</v>
      </c>
      <c r="BX14" s="3">
        <f>BW14+O14</f>
        <v>0</v>
      </c>
      <c r="BY14" s="3">
        <f>BX14+R14</f>
        <v>0</v>
      </c>
      <c r="BZ14" s="3">
        <f>BY14+U14</f>
        <v>0</v>
      </c>
      <c r="CA14" s="3">
        <f>BZ14+X14</f>
        <v>0</v>
      </c>
      <c r="CB14" s="3">
        <f>CA14+AA14</f>
        <v>0</v>
      </c>
      <c r="CC14" s="3">
        <f>CB14+AD14</f>
        <v>0</v>
      </c>
      <c r="CD14" s="3">
        <f>+CC14+AG14</f>
        <v>0</v>
      </c>
      <c r="CE14" s="3">
        <f>+CD14+AJ14</f>
        <v>0</v>
      </c>
      <c r="CF14" s="3">
        <f>CE14+AM14</f>
        <v>0</v>
      </c>
    </row>
    <row r="15" spans="1:84" s="4" customFormat="1" x14ac:dyDescent="0.2">
      <c r="A15" s="72"/>
      <c r="B15" s="103"/>
      <c r="C15" s="104" t="s">
        <v>105</v>
      </c>
      <c r="D15" s="104"/>
      <c r="E15" s="105">
        <f>SUM(E7:E14)</f>
        <v>0</v>
      </c>
      <c r="F15" s="104">
        <f>SUM(F7:F14)</f>
        <v>0</v>
      </c>
      <c r="G15" s="106">
        <f>SUM(G7:G14)</f>
        <v>0</v>
      </c>
      <c r="H15" s="105">
        <f>SUM(H7:H14)</f>
        <v>0</v>
      </c>
      <c r="I15" s="104">
        <f>SUM(I7:I14)</f>
        <v>0</v>
      </c>
      <c r="J15" s="106">
        <f>SUM(J7:J14)</f>
        <v>0</v>
      </c>
      <c r="K15" s="105">
        <f>SUM(K7:K14)</f>
        <v>0</v>
      </c>
      <c r="L15" s="104">
        <f>SUM(L7:L14)</f>
        <v>0</v>
      </c>
      <c r="M15" s="106">
        <f>SUM(M7:M14)</f>
        <v>0</v>
      </c>
      <c r="N15" s="105">
        <f>SUM(N7:N14)</f>
        <v>0</v>
      </c>
      <c r="O15" s="104">
        <f>SUM(O7:O14)</f>
        <v>0</v>
      </c>
      <c r="P15" s="106">
        <f>SUM(P7:P14)</f>
        <v>0</v>
      </c>
      <c r="Q15" s="105">
        <f>SUM(Q7:Q14)</f>
        <v>0</v>
      </c>
      <c r="R15" s="104">
        <f>SUM(R7:R14)</f>
        <v>0</v>
      </c>
      <c r="S15" s="106">
        <f>SUM(S7:S14)</f>
        <v>0</v>
      </c>
      <c r="T15" s="105">
        <f>SUM(T7:T14)</f>
        <v>0</v>
      </c>
      <c r="U15" s="104">
        <f>SUM(U7:U14)</f>
        <v>0</v>
      </c>
      <c r="V15" s="106">
        <f>SUM(V7:V14)</f>
        <v>0</v>
      </c>
      <c r="W15" s="105">
        <f>SUM(W7:W14)</f>
        <v>0</v>
      </c>
      <c r="X15" s="104">
        <f>SUM(X7:X14)</f>
        <v>0</v>
      </c>
      <c r="Y15" s="106">
        <f>SUM(Y7:Y14)</f>
        <v>0</v>
      </c>
      <c r="Z15" s="105">
        <f>SUM(Z7:Z14)</f>
        <v>0</v>
      </c>
      <c r="AA15" s="104">
        <f>SUM(AA7:AA14)</f>
        <v>0</v>
      </c>
      <c r="AB15" s="106">
        <f>SUM(AB7:AB14)</f>
        <v>0</v>
      </c>
      <c r="AC15" s="105">
        <f>SUM(AC7:AC14)</f>
        <v>0</v>
      </c>
      <c r="AD15" s="104">
        <f>SUM(AD7:AD14)</f>
        <v>0</v>
      </c>
      <c r="AE15" s="106">
        <f>SUM(AE7:AE14)</f>
        <v>0</v>
      </c>
      <c r="AF15" s="105">
        <f>SUM(AF7:AF14)</f>
        <v>0</v>
      </c>
      <c r="AG15" s="104">
        <f>SUM(AG7:AG14)</f>
        <v>0</v>
      </c>
      <c r="AH15" s="106">
        <f>SUM(AH7:AH14)</f>
        <v>0</v>
      </c>
      <c r="AI15" s="105">
        <f>SUM(AI7:AI14)</f>
        <v>0</v>
      </c>
      <c r="AJ15" s="104">
        <f>SUM(AJ7:AJ14)</f>
        <v>0</v>
      </c>
      <c r="AK15" s="106">
        <f>SUM(AK7:AK14)</f>
        <v>0</v>
      </c>
      <c r="AL15" s="105">
        <f>SUM(AL7:AL14)</f>
        <v>0</v>
      </c>
      <c r="AM15" s="104">
        <f>SUM(AM7:AM14)</f>
        <v>0</v>
      </c>
      <c r="AN15" s="106">
        <f>SUM(AN7:AN14)</f>
        <v>0</v>
      </c>
      <c r="AO15" s="107">
        <f>SUM(AO7:AO14)</f>
        <v>0</v>
      </c>
      <c r="AP15" s="108">
        <f>SUM(AP7:AP14)</f>
        <v>0</v>
      </c>
      <c r="AQ15" s="105">
        <f>SUM(AQ7:AQ14)</f>
        <v>0</v>
      </c>
      <c r="AR15" s="105" t="str">
        <f>C15</f>
        <v>RESULTAT</v>
      </c>
      <c r="AS15" s="104"/>
      <c r="AT15" s="109">
        <f>SUM(AT7:AT14)</f>
        <v>0</v>
      </c>
      <c r="AU15" s="110">
        <f>SUM(AU7:AU14)</f>
        <v>0</v>
      </c>
      <c r="AV15" s="109">
        <f>SUM(AV7:AV14)</f>
        <v>0</v>
      </c>
      <c r="AW15" s="7">
        <f>SUM(AW7:AW14)</f>
        <v>0</v>
      </c>
      <c r="AX15" s="5">
        <f>SUM(AX7:AX14)</f>
        <v>0</v>
      </c>
      <c r="AY15" s="5">
        <f>SUM(AY7:AY14)</f>
        <v>0</v>
      </c>
      <c r="AZ15" s="5">
        <f>SUM(AZ7:AZ14)</f>
        <v>0</v>
      </c>
      <c r="BA15" s="5">
        <f>SUM(BA7:BA14)</f>
        <v>0</v>
      </c>
      <c r="BB15" s="5">
        <f>SUM(BB7:BB14)</f>
        <v>0</v>
      </c>
      <c r="BC15" s="5">
        <f>SUM(BC7:BC14)</f>
        <v>0</v>
      </c>
      <c r="BD15" s="5">
        <f>SUM(BD7:BD14)</f>
        <v>0</v>
      </c>
      <c r="BE15" s="5">
        <f>SUM(BE7:BE14)</f>
        <v>0</v>
      </c>
      <c r="BF15" s="5">
        <f>SUM(BF7:BF14)</f>
        <v>0</v>
      </c>
      <c r="BG15" s="5">
        <f>SUM(BG7:BG14)</f>
        <v>0</v>
      </c>
      <c r="BH15" s="5">
        <f>SUM(BH7:BH14)</f>
        <v>0</v>
      </c>
      <c r="BI15" s="5">
        <f>E15</f>
        <v>0</v>
      </c>
      <c r="BJ15" s="5">
        <f>BI15+H15</f>
        <v>0</v>
      </c>
      <c r="BK15" s="5">
        <f>BJ15+K15</f>
        <v>0</v>
      </c>
      <c r="BL15" s="5">
        <f>BK15+N15</f>
        <v>0</v>
      </c>
      <c r="BM15" s="5">
        <f>BL15+Q15</f>
        <v>0</v>
      </c>
      <c r="BN15" s="5">
        <f>BM15+T15</f>
        <v>0</v>
      </c>
      <c r="BO15" s="5">
        <f>BN15+W15</f>
        <v>0</v>
      </c>
      <c r="BP15" s="5">
        <f>BO15+Z15</f>
        <v>0</v>
      </c>
      <c r="BQ15" s="5">
        <f>BP15+AC15</f>
        <v>0</v>
      </c>
      <c r="BR15" s="5">
        <f>+BQ15+AF15</f>
        <v>0</v>
      </c>
      <c r="BS15" s="5">
        <f>+BR15+AI15</f>
        <v>0</v>
      </c>
      <c r="BT15" s="5">
        <f>BS15+AL15</f>
        <v>0</v>
      </c>
      <c r="BU15" s="5">
        <f>F15</f>
        <v>0</v>
      </c>
      <c r="BV15" s="5">
        <f>BU15+I15</f>
        <v>0</v>
      </c>
      <c r="BW15" s="5">
        <f>BV15+L15</f>
        <v>0</v>
      </c>
      <c r="BX15" s="5">
        <f>BW15+O15</f>
        <v>0</v>
      </c>
      <c r="BY15" s="5">
        <f>BX15+R15</f>
        <v>0</v>
      </c>
      <c r="BZ15" s="5">
        <f>BY15+U15</f>
        <v>0</v>
      </c>
      <c r="CA15" s="5">
        <f>BZ15+X15</f>
        <v>0</v>
      </c>
      <c r="CB15" s="5">
        <f>CA15+AA15</f>
        <v>0</v>
      </c>
      <c r="CC15" s="5">
        <f>CB15+AD15</f>
        <v>0</v>
      </c>
      <c r="CD15" s="5">
        <f>+CC15+AG15</f>
        <v>0</v>
      </c>
      <c r="CE15" s="5">
        <f>+CD15+AJ15</f>
        <v>0</v>
      </c>
      <c r="CF15" s="5">
        <f>CE15+AM15</f>
        <v>0</v>
      </c>
    </row>
    <row r="16" spans="1:84" s="3" customFormat="1" hidden="1" x14ac:dyDescent="0.2">
      <c r="A16" s="70"/>
      <c r="B16" s="72" t="s">
        <v>7</v>
      </c>
      <c r="C16" s="70"/>
      <c r="D16" s="111"/>
      <c r="E16" s="97"/>
      <c r="F16" s="70"/>
      <c r="G16" s="93">
        <f t="shared" ref="G16:G26" si="23">F16-E16</f>
        <v>0</v>
      </c>
      <c r="H16" s="97"/>
      <c r="I16" s="70"/>
      <c r="J16" s="93">
        <f t="shared" ref="J16:J26" si="24">I16-H16</f>
        <v>0</v>
      </c>
      <c r="K16" s="97"/>
      <c r="L16" s="70"/>
      <c r="M16" s="93">
        <f t="shared" ref="M16:M22" si="25">L16-K16</f>
        <v>0</v>
      </c>
      <c r="N16" s="97"/>
      <c r="O16" s="70"/>
      <c r="P16" s="93">
        <f t="shared" ref="P16:P22" si="26">O16-N16</f>
        <v>0</v>
      </c>
      <c r="Q16" s="97"/>
      <c r="R16" s="70"/>
      <c r="S16" s="93">
        <f t="shared" ref="S16:S22" si="27">R16-Q16</f>
        <v>0</v>
      </c>
      <c r="T16" s="97"/>
      <c r="U16" s="70"/>
      <c r="V16" s="93">
        <f t="shared" ref="V16:V22" si="28">U16-T16</f>
        <v>0</v>
      </c>
      <c r="W16" s="97"/>
      <c r="X16" s="70"/>
      <c r="Y16" s="93">
        <f t="shared" ref="Y16:Y26" si="29">X16-W16</f>
        <v>0</v>
      </c>
      <c r="Z16" s="97"/>
      <c r="AA16" s="70"/>
      <c r="AB16" s="93">
        <f t="shared" ref="AB16:AB26" si="30">AA16-Z16</f>
        <v>0</v>
      </c>
      <c r="AC16" s="97"/>
      <c r="AD16" s="70"/>
      <c r="AE16" s="93">
        <f t="shared" ref="AE16:AE26" si="31">AD16-AC16</f>
        <v>0</v>
      </c>
      <c r="AF16" s="97"/>
      <c r="AG16" s="70"/>
      <c r="AH16" s="93">
        <f t="shared" ref="AH16:AH26" si="32">AG16-AF16</f>
        <v>0</v>
      </c>
      <c r="AI16" s="97"/>
      <c r="AJ16" s="70"/>
      <c r="AK16" s="93">
        <f t="shared" ref="AK16:AK26" si="33">AJ16-AI16</f>
        <v>0</v>
      </c>
      <c r="AL16" s="97"/>
      <c r="AM16" s="70"/>
      <c r="AN16" s="93">
        <f t="shared" ref="AN16:AN26" si="34">AM16-AL16</f>
        <v>0</v>
      </c>
      <c r="AO16" s="112">
        <f t="shared" ref="AO16:AO24" si="35">AL16+AI16+AF16+AC16+Z16+W16+T16+Q16+N16+K16+H16+E16</f>
        <v>0</v>
      </c>
      <c r="AP16" s="113"/>
      <c r="AQ16" s="96"/>
      <c r="AR16" s="97"/>
      <c r="AS16" s="70"/>
      <c r="AT16" s="96">
        <v>0</v>
      </c>
      <c r="AU16" s="98"/>
      <c r="AV16" s="96"/>
    </row>
    <row r="17" spans="1:94" s="3" customFormat="1" hidden="1" x14ac:dyDescent="0.2">
      <c r="A17" s="70"/>
      <c r="B17" s="64"/>
      <c r="C17" s="70" t="s">
        <v>83</v>
      </c>
      <c r="D17" s="70" t="s">
        <v>3</v>
      </c>
      <c r="E17" s="114">
        <f>D33-E33</f>
        <v>0</v>
      </c>
      <c r="F17" s="70">
        <f>D33-F33</f>
        <v>0</v>
      </c>
      <c r="G17" s="93">
        <f t="shared" si="23"/>
        <v>0</v>
      </c>
      <c r="H17" s="97">
        <f>E33-H33</f>
        <v>0</v>
      </c>
      <c r="I17" s="70">
        <f>F33-I33</f>
        <v>0</v>
      </c>
      <c r="J17" s="93">
        <f t="shared" si="24"/>
        <v>0</v>
      </c>
      <c r="K17" s="97">
        <f>H33-K33</f>
        <v>0</v>
      </c>
      <c r="L17" s="70">
        <f>I33-L33</f>
        <v>0</v>
      </c>
      <c r="M17" s="93">
        <f t="shared" si="25"/>
        <v>0</v>
      </c>
      <c r="N17" s="97">
        <f>K33-N33</f>
        <v>0</v>
      </c>
      <c r="O17" s="70">
        <f>L33-O33</f>
        <v>0</v>
      </c>
      <c r="P17" s="93">
        <f t="shared" si="26"/>
        <v>0</v>
      </c>
      <c r="Q17" s="97">
        <f>N33-Q33</f>
        <v>0</v>
      </c>
      <c r="R17" s="70">
        <f>O33-R33</f>
        <v>0</v>
      </c>
      <c r="S17" s="93">
        <f t="shared" si="27"/>
        <v>0</v>
      </c>
      <c r="T17" s="97">
        <f>Q33-T33</f>
        <v>0</v>
      </c>
      <c r="U17" s="70">
        <f>R33-U33</f>
        <v>0</v>
      </c>
      <c r="V17" s="93">
        <f t="shared" si="28"/>
        <v>0</v>
      </c>
      <c r="W17" s="97">
        <f>T33-W33</f>
        <v>0</v>
      </c>
      <c r="X17" s="70">
        <f>U33-X33</f>
        <v>0</v>
      </c>
      <c r="Y17" s="93">
        <f t="shared" si="29"/>
        <v>0</v>
      </c>
      <c r="Z17" s="97">
        <f>W33-Z33</f>
        <v>0</v>
      </c>
      <c r="AA17" s="70">
        <f>X33-AA33</f>
        <v>0</v>
      </c>
      <c r="AB17" s="93">
        <f t="shared" si="30"/>
        <v>0</v>
      </c>
      <c r="AC17" s="97">
        <f>Z33-AC33</f>
        <v>0</v>
      </c>
      <c r="AD17" s="70">
        <f>AA33-AD33</f>
        <v>0</v>
      </c>
      <c r="AE17" s="93">
        <f t="shared" si="31"/>
        <v>0</v>
      </c>
      <c r="AF17" s="97">
        <f>AC33-AF33</f>
        <v>0</v>
      </c>
      <c r="AG17" s="70">
        <f>AD33-AG33</f>
        <v>0</v>
      </c>
      <c r="AH17" s="93">
        <f t="shared" si="32"/>
        <v>0</v>
      </c>
      <c r="AI17" s="97">
        <f>AF33-AI33</f>
        <v>0</v>
      </c>
      <c r="AJ17" s="70">
        <f>AG33-AJ33</f>
        <v>0</v>
      </c>
      <c r="AK17" s="93">
        <f t="shared" si="33"/>
        <v>0</v>
      </c>
      <c r="AL17" s="97">
        <f>AI33-AL33</f>
        <v>0</v>
      </c>
      <c r="AM17" s="63">
        <f>AJ33-AM33</f>
        <v>0</v>
      </c>
      <c r="AN17" s="93">
        <f t="shared" si="34"/>
        <v>0</v>
      </c>
      <c r="AO17" s="112">
        <f t="shared" ref="AO17:AO23" si="36">INDEX(BI17:BT17,1,$I$1)</f>
        <v>0</v>
      </c>
      <c r="AP17" s="115">
        <f t="shared" ref="AP17:AP23" si="37">INDEX(BU17:CF17,1,$I$1)</f>
        <v>0</v>
      </c>
      <c r="AQ17" s="96">
        <f t="shared" ref="AQ17:AQ24" si="38">AP17-AO17</f>
        <v>0</v>
      </c>
      <c r="AR17" s="97" t="str">
        <f t="shared" ref="AR17:AR24" si="39">C17</f>
        <v>Ændring anlægsaktiver</v>
      </c>
      <c r="AS17" s="70"/>
      <c r="AT17" s="96">
        <v>-76660</v>
      </c>
      <c r="AU17" s="98">
        <f t="shared" ref="AU17:AU24" si="40">INDEX(AW17:BH17,1,$I$1)</f>
        <v>0</v>
      </c>
      <c r="AV17" s="96">
        <f>AU17-AT17</f>
        <v>76660</v>
      </c>
      <c r="AW17" s="3">
        <f>AL17+AI17+AF17+AC17+Z17+W17+T17+Q17+N17+K17+H17+F17</f>
        <v>0</v>
      </c>
      <c r="AX17" s="3">
        <f>AL17+AI17+AF17+AC17+Z17+W17+T17+Q17+N17+K17+I17+F17</f>
        <v>0</v>
      </c>
      <c r="AY17" s="3">
        <f>AL17+AI17+AF17+AC17+Z17+W17+T17+Q17+N17+L17+I17+F17</f>
        <v>0</v>
      </c>
      <c r="AZ17" s="3">
        <f>AL17+AI17+AF17+AC17+Z17+W17+T17+Q17+O17+L17+I17+F17</f>
        <v>0</v>
      </c>
      <c r="BA17" s="3">
        <f>AL17+AI17+AF17+AC17+Z17+W17+T17+R17+O17+L17+I17+F17</f>
        <v>0</v>
      </c>
      <c r="BB17" s="3">
        <f>AL17+AI17+AF17+AC17+Z17+W17+U17+R17+O17+L17+I17+F17</f>
        <v>0</v>
      </c>
      <c r="BC17" s="3">
        <f>AL17+AI17+AF17+AC17+Z17+X17+U17+R17+O17+L17+I17+F17</f>
        <v>0</v>
      </c>
      <c r="BD17" s="3">
        <f>AL17+AI17+AF17+AC17+AA17+X17+U17+R17+O17+L17+I17+F17</f>
        <v>0</v>
      </c>
      <c r="BE17" s="3">
        <f>AL17+AI17+AF17+AD17+AA17+X17+U17+R17+O17+L17+I17+F17</f>
        <v>0</v>
      </c>
      <c r="BF17" s="3">
        <f>AL17+AI17+AG17+AD17+AA17+X17+U17+R17+O17+L17+I17+F17</f>
        <v>0</v>
      </c>
      <c r="BG17" s="3">
        <f>AL17+AJ17+AG17+AD17+AA17+X17+U17+R17+O17+L17+I17+F17</f>
        <v>0</v>
      </c>
      <c r="BH17" s="3">
        <f>AM17+AJ17+AG17+AD17+AA17+X17+U17+R17+O17+L17+I17+F17</f>
        <v>0</v>
      </c>
      <c r="BI17" s="3">
        <f>E17</f>
        <v>0</v>
      </c>
      <c r="BJ17" s="3">
        <f>BI17+H17</f>
        <v>0</v>
      </c>
      <c r="BK17" s="3">
        <f>BJ17+K17</f>
        <v>0</v>
      </c>
      <c r="BL17" s="3">
        <f>BK17+N17</f>
        <v>0</v>
      </c>
      <c r="BM17" s="3">
        <f>BL17+Q17</f>
        <v>0</v>
      </c>
      <c r="BN17" s="3">
        <f>BM17+T17</f>
        <v>0</v>
      </c>
      <c r="BO17" s="3">
        <f>BN17+W17</f>
        <v>0</v>
      </c>
      <c r="BP17" s="3">
        <f>BO17+Z17</f>
        <v>0</v>
      </c>
      <c r="BQ17" s="3">
        <f>BP17+AC17</f>
        <v>0</v>
      </c>
      <c r="BR17" s="3">
        <f>+BQ17+AF17</f>
        <v>0</v>
      </c>
      <c r="BS17" s="3">
        <f>+BR17+AI17</f>
        <v>0</v>
      </c>
      <c r="BT17" s="3">
        <f>BS17+AL17</f>
        <v>0</v>
      </c>
      <c r="BU17" s="3">
        <f>F17</f>
        <v>0</v>
      </c>
      <c r="BV17" s="3">
        <f>BU17+I17</f>
        <v>0</v>
      </c>
      <c r="BW17" s="3">
        <f>BV17+L17</f>
        <v>0</v>
      </c>
      <c r="BX17" s="3">
        <f>BW17+O17</f>
        <v>0</v>
      </c>
      <c r="BY17" s="3">
        <f>BX17+R17</f>
        <v>0</v>
      </c>
      <c r="BZ17" s="3">
        <f>BY17+U17</f>
        <v>0</v>
      </c>
      <c r="CA17" s="3">
        <f>BZ17+X17</f>
        <v>0</v>
      </c>
      <c r="CB17" s="3">
        <f>CA17+AA17</f>
        <v>0</v>
      </c>
      <c r="CC17" s="3">
        <f>CB17+AD17</f>
        <v>0</v>
      </c>
      <c r="CD17" s="3">
        <f>+CC17+AG17</f>
        <v>0</v>
      </c>
      <c r="CE17" s="3">
        <f>+CD17+AJ17</f>
        <v>0</v>
      </c>
      <c r="CF17" s="3">
        <f>CE17+AM17</f>
        <v>0</v>
      </c>
    </row>
    <row r="18" spans="1:94" s="3" customFormat="1" hidden="1" x14ac:dyDescent="0.2">
      <c r="A18" s="70"/>
      <c r="B18" s="64"/>
      <c r="C18" s="70" t="s">
        <v>84</v>
      </c>
      <c r="D18" s="70"/>
      <c r="E18" s="114">
        <f>D34-E34</f>
        <v>0</v>
      </c>
      <c r="F18" s="70">
        <f>D34-F34</f>
        <v>0</v>
      </c>
      <c r="G18" s="93">
        <f t="shared" ref="G18:G19" si="41">F18-E18</f>
        <v>0</v>
      </c>
      <c r="H18" s="97">
        <f>E34-H34</f>
        <v>0</v>
      </c>
      <c r="I18" s="70">
        <f>F34-I34</f>
        <v>0</v>
      </c>
      <c r="J18" s="93">
        <f t="shared" si="24"/>
        <v>0</v>
      </c>
      <c r="K18" s="97">
        <f>H34-K34</f>
        <v>0</v>
      </c>
      <c r="L18" s="70">
        <f>I34-L34</f>
        <v>0</v>
      </c>
      <c r="M18" s="93">
        <f t="shared" si="25"/>
        <v>0</v>
      </c>
      <c r="N18" s="97">
        <f>K34-N34</f>
        <v>0</v>
      </c>
      <c r="O18" s="70">
        <f>L34-O34</f>
        <v>0</v>
      </c>
      <c r="P18" s="93">
        <f t="shared" si="26"/>
        <v>0</v>
      </c>
      <c r="Q18" s="97">
        <f>N34-Q34</f>
        <v>0</v>
      </c>
      <c r="R18" s="70">
        <f>O34-R34</f>
        <v>0</v>
      </c>
      <c r="S18" s="93">
        <f t="shared" si="27"/>
        <v>0</v>
      </c>
      <c r="T18" s="97">
        <f>Q34-T34</f>
        <v>0</v>
      </c>
      <c r="U18" s="70">
        <f>R34-U34</f>
        <v>0</v>
      </c>
      <c r="V18" s="93">
        <f t="shared" si="28"/>
        <v>0</v>
      </c>
      <c r="W18" s="97">
        <f>T34-W34</f>
        <v>0</v>
      </c>
      <c r="X18" s="70">
        <f>U34-X34</f>
        <v>0</v>
      </c>
      <c r="Y18" s="93">
        <f t="shared" si="29"/>
        <v>0</v>
      </c>
      <c r="Z18" s="97">
        <f>W34-Z34</f>
        <v>0</v>
      </c>
      <c r="AA18" s="70">
        <f>X34-AA34</f>
        <v>0</v>
      </c>
      <c r="AB18" s="93">
        <f t="shared" si="30"/>
        <v>0</v>
      </c>
      <c r="AC18" s="97">
        <f>Z34-AC34</f>
        <v>0</v>
      </c>
      <c r="AD18" s="70">
        <f>AA34-AD34</f>
        <v>0</v>
      </c>
      <c r="AE18" s="93">
        <f t="shared" si="31"/>
        <v>0</v>
      </c>
      <c r="AF18" s="97">
        <f>AC34-AF34</f>
        <v>0</v>
      </c>
      <c r="AG18" s="70">
        <f>AD34-AG34</f>
        <v>0</v>
      </c>
      <c r="AH18" s="93">
        <f t="shared" si="32"/>
        <v>0</v>
      </c>
      <c r="AI18" s="97">
        <f>AF34-AI34</f>
        <v>0</v>
      </c>
      <c r="AJ18" s="70">
        <f>AG34-AJ34</f>
        <v>0</v>
      </c>
      <c r="AK18" s="93">
        <f t="shared" si="33"/>
        <v>0</v>
      </c>
      <c r="AL18" s="97">
        <f>AI34-AL34</f>
        <v>0</v>
      </c>
      <c r="AM18" s="63">
        <f>AJ34-AM34</f>
        <v>0</v>
      </c>
      <c r="AN18" s="93">
        <f t="shared" si="34"/>
        <v>0</v>
      </c>
      <c r="AO18" s="94">
        <f t="shared" si="36"/>
        <v>0</v>
      </c>
      <c r="AP18" s="95">
        <f t="shared" si="37"/>
        <v>0</v>
      </c>
      <c r="AQ18" s="96">
        <f>AP18-AO18</f>
        <v>0</v>
      </c>
      <c r="AR18" s="97" t="str">
        <f t="shared" ref="AR18" si="42">C18</f>
        <v>Ændring tilgodehavender</v>
      </c>
      <c r="AS18" s="70"/>
      <c r="AT18" s="96">
        <v>-25548</v>
      </c>
      <c r="AU18" s="98">
        <f t="shared" si="40"/>
        <v>0</v>
      </c>
      <c r="AV18" s="96">
        <f>AU18-AT18</f>
        <v>25548</v>
      </c>
      <c r="AW18" s="3">
        <f>AL18+AI18+AF18+AC18+Z18+W18+T18+Q18+N18+K18+H18+F18</f>
        <v>0</v>
      </c>
      <c r="AX18" s="3">
        <f>AL18+AI18+AF18+AC18+Z18+W18+T18+Q18+N18+K18+I18+F18</f>
        <v>0</v>
      </c>
      <c r="AY18" s="3">
        <f>AL18+AI18+AF18+AC18+Z18+W18+T18+Q18+N18+L18+I18+F18</f>
        <v>0</v>
      </c>
      <c r="AZ18" s="3">
        <f>AL18+AI18+AF18+AC18+Z18+W18+T18+Q18+O18+L18+I18+F18</f>
        <v>0</v>
      </c>
      <c r="BA18" s="3">
        <f>AL18+AI18+AF18+AC18+Z18+W18+T18+R18+O18+L18+I18+F18</f>
        <v>0</v>
      </c>
      <c r="BB18" s="3">
        <f>AL18+AI18+AF18+AC18+Z18+W18+U18+R18+O18+L18+I18+F18</f>
        <v>0</v>
      </c>
      <c r="BC18" s="3">
        <f>AL18+AI18+AF18+AC18+Z18+X18+U18+R18+O18+L18+I18+F18</f>
        <v>0</v>
      </c>
      <c r="BD18" s="3">
        <f>AL18+AI18+AF18+AC18+AA18+X18+U18+R18+O18+L18+I18+F18</f>
        <v>0</v>
      </c>
      <c r="BE18" s="3">
        <f>AL18+AI18+AF18+AD18+AA18+X18+U18+R18+O18+L18+I18+F18</f>
        <v>0</v>
      </c>
      <c r="BF18" s="3">
        <f>AL18+AI18+AG18+AD18+AA18+X18+U18+R18+O18+L18+I18+F18</f>
        <v>0</v>
      </c>
      <c r="BG18" s="3">
        <f>AL18+AJ18+AG18+AD18+AA18+X18+U18+R18+O18+L18+I18+F18</f>
        <v>0</v>
      </c>
      <c r="BH18" s="3">
        <f>AM18+AJ18+AG18+AD18+AA18+X18+U18+R18+O18+L18+I18+F18</f>
        <v>0</v>
      </c>
      <c r="BI18" s="3">
        <f t="shared" ref="BI18:BI23" si="43">E18</f>
        <v>0</v>
      </c>
      <c r="BJ18" s="3">
        <f>BI18+H18</f>
        <v>0</v>
      </c>
      <c r="BK18" s="3">
        <f>BJ18+K18</f>
        <v>0</v>
      </c>
      <c r="BL18" s="3">
        <f>BK18+N18</f>
        <v>0</v>
      </c>
      <c r="BM18" s="3">
        <f>BL18+Q18</f>
        <v>0</v>
      </c>
      <c r="BN18" s="3">
        <f>BM18+T18</f>
        <v>0</v>
      </c>
      <c r="BO18" s="3">
        <f>BN18+W18</f>
        <v>0</v>
      </c>
      <c r="BP18" s="3">
        <f>BO18+Z18</f>
        <v>0</v>
      </c>
      <c r="BQ18" s="3">
        <f>BP18+AC18</f>
        <v>0</v>
      </c>
      <c r="BR18" s="3">
        <f>+BQ18+AF18</f>
        <v>0</v>
      </c>
      <c r="BS18" s="3">
        <f>+BR18+AI18</f>
        <v>0</v>
      </c>
      <c r="BT18" s="3">
        <f>BS18+AL18</f>
        <v>0</v>
      </c>
      <c r="BU18" s="3">
        <f>F18</f>
        <v>0</v>
      </c>
      <c r="BV18" s="3">
        <f>BU18+I18</f>
        <v>0</v>
      </c>
      <c r="BW18" s="3">
        <f>BV18+L18</f>
        <v>0</v>
      </c>
      <c r="BX18" s="3">
        <f>BW18+O18</f>
        <v>0</v>
      </c>
      <c r="BY18" s="3">
        <f>BX18+R18</f>
        <v>0</v>
      </c>
      <c r="BZ18" s="3">
        <f>BY18+U18</f>
        <v>0</v>
      </c>
      <c r="CA18" s="3">
        <f>BZ18+X18</f>
        <v>0</v>
      </c>
      <c r="CB18" s="3">
        <f>CA18+AA18</f>
        <v>0</v>
      </c>
      <c r="CC18" s="3">
        <f>CB18+AD18</f>
        <v>0</v>
      </c>
      <c r="CD18" s="3">
        <f>+CC18+AG18</f>
        <v>0</v>
      </c>
      <c r="CE18" s="3">
        <f>+CD18+AJ18</f>
        <v>0</v>
      </c>
      <c r="CF18" s="3">
        <f>CE18+AM18</f>
        <v>0</v>
      </c>
    </row>
    <row r="19" spans="1:94" s="3" customFormat="1" hidden="1" x14ac:dyDescent="0.2">
      <c r="A19" s="70"/>
      <c r="B19" s="64"/>
      <c r="C19" s="70" t="s">
        <v>104</v>
      </c>
      <c r="D19" s="70"/>
      <c r="E19" s="114">
        <f>D38-E38</f>
        <v>0</v>
      </c>
      <c r="F19" s="70">
        <f>D38-F38</f>
        <v>0</v>
      </c>
      <c r="G19" s="93">
        <f t="shared" si="41"/>
        <v>0</v>
      </c>
      <c r="H19" s="97">
        <f t="shared" ref="H19:I22" si="44">E38-H38</f>
        <v>0</v>
      </c>
      <c r="I19" s="70">
        <f t="shared" si="44"/>
        <v>0</v>
      </c>
      <c r="J19" s="93">
        <f t="shared" si="24"/>
        <v>0</v>
      </c>
      <c r="K19" s="97">
        <f t="shared" ref="K19:L22" si="45">H38-K38</f>
        <v>0</v>
      </c>
      <c r="L19" s="70">
        <f t="shared" si="45"/>
        <v>0</v>
      </c>
      <c r="M19" s="93"/>
      <c r="N19" s="97">
        <f t="shared" ref="N19:O22" si="46">K38-N38</f>
        <v>0</v>
      </c>
      <c r="O19" s="70">
        <f t="shared" si="46"/>
        <v>0</v>
      </c>
      <c r="P19" s="93"/>
      <c r="Q19" s="97">
        <f t="shared" ref="Q19:R22" si="47">N38-Q38</f>
        <v>0</v>
      </c>
      <c r="R19" s="70">
        <f t="shared" si="47"/>
        <v>0</v>
      </c>
      <c r="S19" s="93"/>
      <c r="T19" s="97">
        <f t="shared" ref="T19:U22" si="48">Q38-T38</f>
        <v>0</v>
      </c>
      <c r="U19" s="70">
        <f t="shared" si="48"/>
        <v>0</v>
      </c>
      <c r="V19" s="93"/>
      <c r="W19" s="97">
        <f t="shared" ref="W19:X22" si="49">T38-W38</f>
        <v>0</v>
      </c>
      <c r="X19" s="70">
        <f t="shared" si="49"/>
        <v>0</v>
      </c>
      <c r="Y19" s="93">
        <f t="shared" si="29"/>
        <v>0</v>
      </c>
      <c r="Z19" s="97">
        <f t="shared" ref="Z19:AA22" si="50">W38-Z38</f>
        <v>0</v>
      </c>
      <c r="AA19" s="70">
        <f t="shared" si="50"/>
        <v>0</v>
      </c>
      <c r="AB19" s="93">
        <f t="shared" si="30"/>
        <v>0</v>
      </c>
      <c r="AC19" s="97">
        <f t="shared" ref="AC19:AD22" si="51">Z38-AC38</f>
        <v>0</v>
      </c>
      <c r="AD19" s="70">
        <f t="shared" si="51"/>
        <v>0</v>
      </c>
      <c r="AE19" s="93">
        <f t="shared" si="31"/>
        <v>0</v>
      </c>
      <c r="AF19" s="97">
        <f t="shared" ref="AF19:AG22" si="52">AC38-AF38</f>
        <v>0</v>
      </c>
      <c r="AG19" s="70">
        <f t="shared" si="52"/>
        <v>0</v>
      </c>
      <c r="AH19" s="93">
        <f t="shared" si="32"/>
        <v>0</v>
      </c>
      <c r="AI19" s="97">
        <f t="shared" ref="AI19:AJ22" si="53">AF38-AI38</f>
        <v>0</v>
      </c>
      <c r="AJ19" s="70">
        <f t="shared" si="53"/>
        <v>0</v>
      </c>
      <c r="AK19" s="93">
        <f t="shared" si="33"/>
        <v>0</v>
      </c>
      <c r="AL19" s="97">
        <f t="shared" ref="AL19:AM22" si="54">AI38-AL38</f>
        <v>0</v>
      </c>
      <c r="AM19" s="63">
        <f t="shared" si="54"/>
        <v>0</v>
      </c>
      <c r="AN19" s="93">
        <f t="shared" si="34"/>
        <v>0</v>
      </c>
      <c r="AO19" s="94">
        <f t="shared" si="36"/>
        <v>0</v>
      </c>
      <c r="AP19" s="95">
        <f t="shared" si="37"/>
        <v>0</v>
      </c>
      <c r="AQ19" s="96">
        <f t="shared" si="38"/>
        <v>0</v>
      </c>
      <c r="AR19" s="97" t="str">
        <f t="shared" ref="AR19" si="55">C19</f>
        <v>Hævet til privat, bil og skat</v>
      </c>
      <c r="AS19" s="70"/>
      <c r="AT19" s="96">
        <v>-138695</v>
      </c>
      <c r="AU19" s="98">
        <f t="shared" si="40"/>
        <v>0</v>
      </c>
      <c r="AV19" s="96">
        <f>AU19-AT19</f>
        <v>138695</v>
      </c>
      <c r="AW19" s="3">
        <f>AL19+AI19+AF19+AC19+Z19+W19+T19+Q19+N19+K19+H19+F19</f>
        <v>0</v>
      </c>
      <c r="AX19" s="3">
        <f>AL19+AI19+AF19+AC19+Z19+W19+T19+Q19+N19+K19+I19+F19</f>
        <v>0</v>
      </c>
      <c r="AY19" s="3">
        <f>AL19+AI19+AF19+AC19+Z19+W19+T19+Q19+N19+L19+I19+F19</f>
        <v>0</v>
      </c>
      <c r="AZ19" s="3">
        <f>AL19+AI19+AF19+AC19+Z19+W19+T19+Q19+O19+L19+I19+F19</f>
        <v>0</v>
      </c>
      <c r="BA19" s="3">
        <f>AL19+AI19+AF19+AC19+Z19+W19+T19+R19+O19+L19+I19+F19</f>
        <v>0</v>
      </c>
      <c r="BB19" s="3">
        <f>AL19+AI19+AF19+AC19+Z19+W19+U19+R19+O19+L19+I19+F19</f>
        <v>0</v>
      </c>
      <c r="BC19" s="3">
        <f>AL19+AI19+AF19+AC19+Z19+X19+U19+R19+O19+L19+I19+F19</f>
        <v>0</v>
      </c>
      <c r="BD19" s="3">
        <f>AL19+AI19+AF19+AC19+AA19+X19+U19+R19+O19+L19+I19+F19</f>
        <v>0</v>
      </c>
      <c r="BE19" s="3">
        <f>AL19+AI19+AF19+AD19+AA19+X19+U19+R19+O19+L19+I19+F19</f>
        <v>0</v>
      </c>
      <c r="BF19" s="3">
        <f>AL19+AI19+AG19+AD19+AA19+X19+U19+R19+O19+L19+I19+F19</f>
        <v>0</v>
      </c>
      <c r="BG19" s="3">
        <f>AL19+AJ19+AG19+AD19+AA19+X19+U19+R19+O19+L19+I19+F19</f>
        <v>0</v>
      </c>
      <c r="BH19" s="3">
        <f>AM19+AJ19+AG19+AD19+AA19+X19+U19+R19+O19+L19+I19+F19</f>
        <v>0</v>
      </c>
      <c r="BI19" s="3">
        <f t="shared" si="43"/>
        <v>0</v>
      </c>
      <c r="BJ19" s="3">
        <f>BI19+H19</f>
        <v>0</v>
      </c>
      <c r="BK19" s="3">
        <f>BJ19+K19</f>
        <v>0</v>
      </c>
      <c r="BL19" s="3">
        <f>BK19+N19</f>
        <v>0</v>
      </c>
      <c r="BM19" s="3">
        <f>BL19+Q19</f>
        <v>0</v>
      </c>
      <c r="BN19" s="3">
        <f>BM19+T19</f>
        <v>0</v>
      </c>
      <c r="BO19" s="3">
        <f>BN19+W19</f>
        <v>0</v>
      </c>
      <c r="BP19" s="3">
        <f>BO19+Z19</f>
        <v>0</v>
      </c>
      <c r="BQ19" s="3">
        <f>BP19+AC19</f>
        <v>0</v>
      </c>
      <c r="BR19" s="3">
        <f>+BQ19+AF19</f>
        <v>0</v>
      </c>
      <c r="BS19" s="3">
        <f>+BR19+AI19</f>
        <v>0</v>
      </c>
      <c r="BT19" s="3">
        <f>BS19+AL19</f>
        <v>0</v>
      </c>
      <c r="BU19" s="3">
        <f>F19</f>
        <v>0</v>
      </c>
      <c r="BV19" s="3">
        <f>BU19+I19</f>
        <v>0</v>
      </c>
      <c r="BW19" s="3">
        <f>BV19+L19</f>
        <v>0</v>
      </c>
      <c r="BX19" s="3">
        <f>BW19+O19</f>
        <v>0</v>
      </c>
      <c r="BY19" s="3">
        <f>BX19+R19</f>
        <v>0</v>
      </c>
      <c r="BZ19" s="3">
        <f>BY19+U19</f>
        <v>0</v>
      </c>
      <c r="CA19" s="3">
        <f>BZ19+X19</f>
        <v>0</v>
      </c>
      <c r="CB19" s="3">
        <f>CA19+AA19</f>
        <v>0</v>
      </c>
      <c r="CC19" s="3">
        <f>CB19+AD19</f>
        <v>0</v>
      </c>
      <c r="CD19" s="3">
        <f>+CC19+AG19</f>
        <v>0</v>
      </c>
      <c r="CE19" s="3">
        <f>+CD19+AJ19</f>
        <v>0</v>
      </c>
      <c r="CF19" s="3">
        <f>CE19+AM19</f>
        <v>0</v>
      </c>
    </row>
    <row r="20" spans="1:94" s="3" customFormat="1" hidden="1" x14ac:dyDescent="0.2">
      <c r="A20" s="70"/>
      <c r="B20" s="64"/>
      <c r="C20" s="70" t="s">
        <v>85</v>
      </c>
      <c r="D20" s="70"/>
      <c r="E20" s="114">
        <f>D39-E39</f>
        <v>0</v>
      </c>
      <c r="F20" s="70">
        <f>D39-F39</f>
        <v>0</v>
      </c>
      <c r="G20" s="93">
        <f t="shared" si="23"/>
        <v>0</v>
      </c>
      <c r="H20" s="97">
        <f t="shared" si="44"/>
        <v>0</v>
      </c>
      <c r="I20" s="70">
        <f t="shared" si="44"/>
        <v>0</v>
      </c>
      <c r="J20" s="93">
        <f t="shared" si="24"/>
        <v>0</v>
      </c>
      <c r="K20" s="97">
        <f t="shared" si="45"/>
        <v>0</v>
      </c>
      <c r="L20" s="70">
        <f t="shared" si="45"/>
        <v>0</v>
      </c>
      <c r="M20" s="93">
        <f t="shared" ref="M20" si="56">L20-K20</f>
        <v>0</v>
      </c>
      <c r="N20" s="97">
        <f t="shared" si="46"/>
        <v>0</v>
      </c>
      <c r="O20" s="70">
        <f t="shared" si="46"/>
        <v>0</v>
      </c>
      <c r="P20" s="93">
        <f t="shared" ref="P20" si="57">O20-N20</f>
        <v>0</v>
      </c>
      <c r="Q20" s="97">
        <f t="shared" si="47"/>
        <v>0</v>
      </c>
      <c r="R20" s="70">
        <f t="shared" si="47"/>
        <v>0</v>
      </c>
      <c r="S20" s="93">
        <f t="shared" ref="S20" si="58">R20-Q20</f>
        <v>0</v>
      </c>
      <c r="T20" s="97">
        <f t="shared" si="48"/>
        <v>0</v>
      </c>
      <c r="U20" s="70">
        <f t="shared" si="48"/>
        <v>0</v>
      </c>
      <c r="V20" s="93">
        <f t="shared" ref="V20" si="59">U20-T20</f>
        <v>0</v>
      </c>
      <c r="W20" s="97">
        <f t="shared" si="49"/>
        <v>0</v>
      </c>
      <c r="X20" s="70">
        <f t="shared" si="49"/>
        <v>0</v>
      </c>
      <c r="Y20" s="93">
        <f t="shared" si="29"/>
        <v>0</v>
      </c>
      <c r="Z20" s="97">
        <f t="shared" si="50"/>
        <v>0</v>
      </c>
      <c r="AA20" s="70">
        <f t="shared" si="50"/>
        <v>0</v>
      </c>
      <c r="AB20" s="93">
        <f t="shared" si="30"/>
        <v>0</v>
      </c>
      <c r="AC20" s="97">
        <f t="shared" si="51"/>
        <v>0</v>
      </c>
      <c r="AD20" s="70">
        <f t="shared" si="51"/>
        <v>0</v>
      </c>
      <c r="AE20" s="93">
        <f t="shared" si="31"/>
        <v>0</v>
      </c>
      <c r="AF20" s="97">
        <f t="shared" si="52"/>
        <v>0</v>
      </c>
      <c r="AG20" s="70">
        <f t="shared" si="52"/>
        <v>0</v>
      </c>
      <c r="AH20" s="93">
        <f t="shared" si="32"/>
        <v>0</v>
      </c>
      <c r="AI20" s="97">
        <f t="shared" si="53"/>
        <v>0</v>
      </c>
      <c r="AJ20" s="70">
        <f t="shared" si="53"/>
        <v>0</v>
      </c>
      <c r="AK20" s="93">
        <f t="shared" si="33"/>
        <v>0</v>
      </c>
      <c r="AL20" s="97">
        <f t="shared" si="54"/>
        <v>0</v>
      </c>
      <c r="AM20" s="63">
        <f t="shared" si="54"/>
        <v>0</v>
      </c>
      <c r="AN20" s="93">
        <f t="shared" si="34"/>
        <v>0</v>
      </c>
      <c r="AO20" s="94">
        <f t="shared" si="36"/>
        <v>0</v>
      </c>
      <c r="AP20" s="95">
        <f t="shared" si="37"/>
        <v>0</v>
      </c>
      <c r="AQ20" s="96">
        <f t="shared" si="38"/>
        <v>0</v>
      </c>
      <c r="AR20" s="97" t="str">
        <f t="shared" ref="AR20" si="60">C20</f>
        <v>Ændring langfristet gæld</v>
      </c>
      <c r="AS20" s="70"/>
      <c r="AT20" s="96">
        <v>302155</v>
      </c>
      <c r="AU20" s="98">
        <f t="shared" si="40"/>
        <v>0</v>
      </c>
      <c r="AV20" s="96">
        <f>AU20-AT20</f>
        <v>-302155</v>
      </c>
      <c r="AW20" s="3">
        <f>AL20+AI20+AF20+AC20+Z20+W20+T20+Q20+N20+K20+H20+F20</f>
        <v>0</v>
      </c>
      <c r="AX20" s="3">
        <f>AL20+AI20+AF20+AC20+Z20+W20+T20+Q20+N20+K20+I20+F20</f>
        <v>0</v>
      </c>
      <c r="AY20" s="3">
        <f>AL20+AI20+AF20+AC20+Z20+W20+T20+Q20+N20+L20+I20+F20</f>
        <v>0</v>
      </c>
      <c r="AZ20" s="3">
        <f>AL20+AI20+AF20+AC20+Z20+W20+T20+Q20+O20+L20+I20+F20</f>
        <v>0</v>
      </c>
      <c r="BA20" s="3">
        <f>AL20+AI20+AF20+AC20+Z20+W20+T20+R20+O20+L20+I20+F20</f>
        <v>0</v>
      </c>
      <c r="BB20" s="3">
        <f>AL20+AI20+AF20+AC20+Z20+W20+U20+R20+O20+L20+I20+F20</f>
        <v>0</v>
      </c>
      <c r="BC20" s="3">
        <f>AL20+AI20+AF20+AC20+Z20+X20+U20+R20+O20+L20+I20+F20</f>
        <v>0</v>
      </c>
      <c r="BD20" s="3">
        <f>AL20+AI20+AF20+AC20+AA20+X20+U20+R20+O20+L20+I20+F20</f>
        <v>0</v>
      </c>
      <c r="BE20" s="3">
        <f>AL20+AI20+AF20+AD20+AA20+X20+U20+R20+O20+L20+I20+F20</f>
        <v>0</v>
      </c>
      <c r="BF20" s="3">
        <f>AL20+AI20+AG20+AD20+AA20+X20+U20+R20+O20+L20+I20+F20</f>
        <v>0</v>
      </c>
      <c r="BG20" s="3">
        <f>AL20+AJ20+AG20+AD20+AA20+X20+U20+R20+O20+L20+I20+F20</f>
        <v>0</v>
      </c>
      <c r="BH20" s="3">
        <f>AM20+AJ20+AG20+AD20+AA20+X20+U20+R20+O20+L20+I20+F20</f>
        <v>0</v>
      </c>
      <c r="BI20" s="3">
        <f t="shared" si="43"/>
        <v>0</v>
      </c>
      <c r="BJ20" s="3">
        <f>BI20+H20</f>
        <v>0</v>
      </c>
      <c r="BK20" s="3">
        <f>BJ20+K20</f>
        <v>0</v>
      </c>
      <c r="BL20" s="3">
        <f>BK20+N20</f>
        <v>0</v>
      </c>
      <c r="BM20" s="3">
        <f>BL20+Q20</f>
        <v>0</v>
      </c>
      <c r="BN20" s="3">
        <f>BM20+T20</f>
        <v>0</v>
      </c>
      <c r="BO20" s="3">
        <f>BN20+W20</f>
        <v>0</v>
      </c>
      <c r="BP20" s="3">
        <f>BO20+Z20</f>
        <v>0</v>
      </c>
      <c r="BQ20" s="3">
        <f>BP20+AC20</f>
        <v>0</v>
      </c>
      <c r="BR20" s="3">
        <f>+BQ20+AF20</f>
        <v>0</v>
      </c>
      <c r="BS20" s="3">
        <f>+BR20+AI20</f>
        <v>0</v>
      </c>
      <c r="BT20" s="3">
        <f>BS20+AL20</f>
        <v>0</v>
      </c>
      <c r="BU20" s="3">
        <f>F20</f>
        <v>0</v>
      </c>
      <c r="BV20" s="3">
        <f>BU20+I20</f>
        <v>0</v>
      </c>
      <c r="BW20" s="3">
        <f>BV20+L20</f>
        <v>0</v>
      </c>
      <c r="BX20" s="3">
        <f>BW20+O20</f>
        <v>0</v>
      </c>
      <c r="BY20" s="3">
        <f>BX20+R20</f>
        <v>0</v>
      </c>
      <c r="BZ20" s="3">
        <f>BY20+U20</f>
        <v>0</v>
      </c>
      <c r="CA20" s="3">
        <f>BZ20+X20</f>
        <v>0</v>
      </c>
      <c r="CB20" s="3">
        <f>CA20+AA20</f>
        <v>0</v>
      </c>
      <c r="CC20" s="3">
        <f>CB20+AD20</f>
        <v>0</v>
      </c>
      <c r="CD20" s="3">
        <f>+CC20+AG20</f>
        <v>0</v>
      </c>
      <c r="CE20" s="3">
        <f>+CD20+AJ20</f>
        <v>0</v>
      </c>
      <c r="CF20" s="3">
        <f>CE20+AM20</f>
        <v>0</v>
      </c>
    </row>
    <row r="21" spans="1:94" s="3" customFormat="1" hidden="1" x14ac:dyDescent="0.2">
      <c r="A21" s="70"/>
      <c r="B21" s="64"/>
      <c r="C21" s="70" t="s">
        <v>86</v>
      </c>
      <c r="D21" s="70"/>
      <c r="E21" s="114">
        <f>D40-E40</f>
        <v>0</v>
      </c>
      <c r="F21" s="70">
        <f>D40-F40</f>
        <v>0</v>
      </c>
      <c r="G21" s="93">
        <f t="shared" si="23"/>
        <v>0</v>
      </c>
      <c r="H21" s="97">
        <f t="shared" si="44"/>
        <v>0</v>
      </c>
      <c r="I21" s="70">
        <f t="shared" si="44"/>
        <v>0</v>
      </c>
      <c r="J21" s="93">
        <f t="shared" si="24"/>
        <v>0</v>
      </c>
      <c r="K21" s="97">
        <f t="shared" si="45"/>
        <v>0</v>
      </c>
      <c r="L21" s="70">
        <f t="shared" si="45"/>
        <v>0</v>
      </c>
      <c r="M21" s="93">
        <f t="shared" si="25"/>
        <v>0</v>
      </c>
      <c r="N21" s="97">
        <f t="shared" si="46"/>
        <v>0</v>
      </c>
      <c r="O21" s="70">
        <f t="shared" si="46"/>
        <v>0</v>
      </c>
      <c r="P21" s="93">
        <f t="shared" si="26"/>
        <v>0</v>
      </c>
      <c r="Q21" s="97">
        <f t="shared" si="47"/>
        <v>0</v>
      </c>
      <c r="R21" s="70">
        <f t="shared" si="47"/>
        <v>0</v>
      </c>
      <c r="S21" s="93">
        <f t="shared" si="27"/>
        <v>0</v>
      </c>
      <c r="T21" s="97">
        <f t="shared" si="48"/>
        <v>0</v>
      </c>
      <c r="U21" s="70">
        <f t="shared" si="48"/>
        <v>0</v>
      </c>
      <c r="V21" s="93">
        <f t="shared" si="28"/>
        <v>0</v>
      </c>
      <c r="W21" s="97">
        <f t="shared" si="49"/>
        <v>0</v>
      </c>
      <c r="X21" s="70">
        <f t="shared" si="49"/>
        <v>0</v>
      </c>
      <c r="Y21" s="93">
        <f t="shared" si="29"/>
        <v>0</v>
      </c>
      <c r="Z21" s="97">
        <f t="shared" si="50"/>
        <v>0</v>
      </c>
      <c r="AA21" s="70">
        <f t="shared" si="50"/>
        <v>0</v>
      </c>
      <c r="AB21" s="93">
        <f t="shared" si="30"/>
        <v>0</v>
      </c>
      <c r="AC21" s="97">
        <f t="shared" si="51"/>
        <v>0</v>
      </c>
      <c r="AD21" s="70">
        <f t="shared" si="51"/>
        <v>0</v>
      </c>
      <c r="AE21" s="93">
        <f t="shared" si="31"/>
        <v>0</v>
      </c>
      <c r="AF21" s="97">
        <f t="shared" si="52"/>
        <v>0</v>
      </c>
      <c r="AG21" s="70">
        <f t="shared" si="52"/>
        <v>0</v>
      </c>
      <c r="AH21" s="93">
        <f t="shared" si="32"/>
        <v>0</v>
      </c>
      <c r="AI21" s="97">
        <f t="shared" si="53"/>
        <v>0</v>
      </c>
      <c r="AJ21" s="70">
        <f t="shared" si="53"/>
        <v>0</v>
      </c>
      <c r="AK21" s="93">
        <f t="shared" si="33"/>
        <v>0</v>
      </c>
      <c r="AL21" s="97">
        <f t="shared" si="54"/>
        <v>0</v>
      </c>
      <c r="AM21" s="63">
        <f t="shared" si="54"/>
        <v>0</v>
      </c>
      <c r="AN21" s="93">
        <f t="shared" si="34"/>
        <v>0</v>
      </c>
      <c r="AO21" s="94">
        <f t="shared" si="36"/>
        <v>0</v>
      </c>
      <c r="AP21" s="95">
        <f t="shared" si="37"/>
        <v>0</v>
      </c>
      <c r="AQ21" s="96">
        <f t="shared" si="38"/>
        <v>0</v>
      </c>
      <c r="AR21" s="97" t="str">
        <f t="shared" si="39"/>
        <v>Ændring kortfristet gæld</v>
      </c>
      <c r="AS21" s="70"/>
      <c r="AT21" s="96">
        <v>99334</v>
      </c>
      <c r="AU21" s="98">
        <f t="shared" si="40"/>
        <v>0</v>
      </c>
      <c r="AV21" s="96">
        <f>AU21-AT21</f>
        <v>-99334</v>
      </c>
      <c r="AW21" s="3">
        <f>AL21+AI21+AF21+AC21+Z21+W21+T21+Q21+N21+K21+H21+F21</f>
        <v>0</v>
      </c>
      <c r="AX21" s="3">
        <f>AL21+AI21+AF21+AC21+Z21+W21+T21+Q21+N21+K21+I21+F21</f>
        <v>0</v>
      </c>
      <c r="AY21" s="3">
        <f>AL21+AI21+AF21+AC21+Z21+W21+T21+Q21+N21+L21+I21+F21</f>
        <v>0</v>
      </c>
      <c r="AZ21" s="3">
        <f>AL21+AI21+AF21+AC21+Z21+W21+T21+Q21+O21+L21+I21+F21</f>
        <v>0</v>
      </c>
      <c r="BA21" s="3">
        <f>AL21+AI21+AF21+AC21+Z21+W21+T21+R21+O21+L21+I21+F21</f>
        <v>0</v>
      </c>
      <c r="BB21" s="3">
        <f>AL21+AI21+AF21+AC21+Z21+W21+U21+R21+O21+L21+I21+F21</f>
        <v>0</v>
      </c>
      <c r="BC21" s="3">
        <f>AL21+AI21+AF21+AC21+Z21+X21+U21+R21+O21+L21+I21+F21</f>
        <v>0</v>
      </c>
      <c r="BD21" s="3">
        <f>AL21+AI21+AF21+AC21+AA21+X21+U21+R21+O21+L21+I21+F21</f>
        <v>0</v>
      </c>
      <c r="BE21" s="3">
        <f>AL21+AI21+AF21+AD21+AA21+X21+U21+R21+O21+L21+I21+F21</f>
        <v>0</v>
      </c>
      <c r="BF21" s="3">
        <f>AL21+AI21+AG21+AD21+AA21+X21+U21+R21+O21+L21+I21+F21</f>
        <v>0</v>
      </c>
      <c r="BG21" s="3">
        <f>AL21+AJ21+AG21+AD21+AA21+X21+U21+R21+O21+L21+I21+F21</f>
        <v>0</v>
      </c>
      <c r="BH21" s="3">
        <f>AM21+AJ21+AG21+AD21+AA21+X21+U21+R21+O21+L21+I21+F21</f>
        <v>0</v>
      </c>
      <c r="BI21" s="3">
        <f t="shared" si="43"/>
        <v>0</v>
      </c>
      <c r="BJ21" s="3">
        <f>BI21+H21</f>
        <v>0</v>
      </c>
      <c r="BK21" s="3">
        <f>BJ21+K21</f>
        <v>0</v>
      </c>
      <c r="BL21" s="3">
        <f>BK21+N21</f>
        <v>0</v>
      </c>
      <c r="BM21" s="3">
        <f>BL21+Q21</f>
        <v>0</v>
      </c>
      <c r="BN21" s="3">
        <f>BM21+T21</f>
        <v>0</v>
      </c>
      <c r="BO21" s="3">
        <f>BN21+W21</f>
        <v>0</v>
      </c>
      <c r="BP21" s="3">
        <f>BO21+Z21</f>
        <v>0</v>
      </c>
      <c r="BQ21" s="3">
        <f>BP21+AC21</f>
        <v>0</v>
      </c>
      <c r="BR21" s="3">
        <f>+BQ21+AF21</f>
        <v>0</v>
      </c>
      <c r="BS21" s="3">
        <f>+BR21+AI21</f>
        <v>0</v>
      </c>
      <c r="BT21" s="3">
        <f>BS21+AL21</f>
        <v>0</v>
      </c>
      <c r="BU21" s="3">
        <f>F21</f>
        <v>0</v>
      </c>
      <c r="BV21" s="3">
        <f>BU21+I21</f>
        <v>0</v>
      </c>
      <c r="BW21" s="3">
        <f>BV21+L21</f>
        <v>0</v>
      </c>
      <c r="BX21" s="3">
        <f>BW21+O21</f>
        <v>0</v>
      </c>
      <c r="BY21" s="3">
        <f>BX21+R21</f>
        <v>0</v>
      </c>
      <c r="BZ21" s="3">
        <f>BY21+U21</f>
        <v>0</v>
      </c>
      <c r="CA21" s="3">
        <f>BZ21+X21</f>
        <v>0</v>
      </c>
      <c r="CB21" s="3">
        <f>CA21+AA21</f>
        <v>0</v>
      </c>
      <c r="CC21" s="3">
        <f>CB21+AD21</f>
        <v>0</v>
      </c>
      <c r="CD21" s="3">
        <f>+CC21+AG21</f>
        <v>0</v>
      </c>
      <c r="CE21" s="3">
        <f>+CD21+AJ21</f>
        <v>0</v>
      </c>
      <c r="CF21" s="3">
        <f>CE21+AM21</f>
        <v>0</v>
      </c>
    </row>
    <row r="22" spans="1:94" s="3" customFormat="1" hidden="1" x14ac:dyDescent="0.2">
      <c r="A22" s="70"/>
      <c r="B22" s="64"/>
      <c r="C22" s="70" t="s">
        <v>87</v>
      </c>
      <c r="D22" s="70"/>
      <c r="E22" s="114">
        <f>D41-E41</f>
        <v>0</v>
      </c>
      <c r="F22" s="70">
        <f>D41-F41</f>
        <v>0</v>
      </c>
      <c r="G22" s="93">
        <f t="shared" si="23"/>
        <v>0</v>
      </c>
      <c r="H22" s="97">
        <f t="shared" si="44"/>
        <v>0</v>
      </c>
      <c r="I22" s="70">
        <f t="shared" si="44"/>
        <v>0</v>
      </c>
      <c r="J22" s="93">
        <f t="shared" si="24"/>
        <v>0</v>
      </c>
      <c r="K22" s="97">
        <f t="shared" si="45"/>
        <v>0</v>
      </c>
      <c r="L22" s="70">
        <f t="shared" si="45"/>
        <v>0</v>
      </c>
      <c r="M22" s="93">
        <f t="shared" si="25"/>
        <v>0</v>
      </c>
      <c r="N22" s="97">
        <f t="shared" si="46"/>
        <v>0</v>
      </c>
      <c r="O22" s="70">
        <f t="shared" si="46"/>
        <v>0</v>
      </c>
      <c r="P22" s="93">
        <f t="shared" si="26"/>
        <v>0</v>
      </c>
      <c r="Q22" s="97">
        <f t="shared" si="47"/>
        <v>0</v>
      </c>
      <c r="R22" s="70">
        <f t="shared" si="47"/>
        <v>0</v>
      </c>
      <c r="S22" s="93">
        <f t="shared" si="27"/>
        <v>0</v>
      </c>
      <c r="T22" s="97">
        <f t="shared" si="48"/>
        <v>0</v>
      </c>
      <c r="U22" s="70">
        <f t="shared" si="48"/>
        <v>0</v>
      </c>
      <c r="V22" s="93">
        <f t="shared" si="28"/>
        <v>0</v>
      </c>
      <c r="W22" s="97">
        <f t="shared" si="49"/>
        <v>0</v>
      </c>
      <c r="X22" s="70">
        <f t="shared" si="49"/>
        <v>0</v>
      </c>
      <c r="Y22" s="93">
        <f t="shared" si="29"/>
        <v>0</v>
      </c>
      <c r="Z22" s="97">
        <f t="shared" si="50"/>
        <v>0</v>
      </c>
      <c r="AA22" s="70">
        <f t="shared" si="50"/>
        <v>0</v>
      </c>
      <c r="AB22" s="93">
        <f t="shared" si="30"/>
        <v>0</v>
      </c>
      <c r="AC22" s="97">
        <f t="shared" si="51"/>
        <v>0</v>
      </c>
      <c r="AD22" s="70">
        <f t="shared" si="51"/>
        <v>0</v>
      </c>
      <c r="AE22" s="93">
        <f t="shared" si="31"/>
        <v>0</v>
      </c>
      <c r="AF22" s="97">
        <f t="shared" si="52"/>
        <v>0</v>
      </c>
      <c r="AG22" s="70">
        <f t="shared" si="52"/>
        <v>0</v>
      </c>
      <c r="AH22" s="93">
        <f t="shared" si="32"/>
        <v>0</v>
      </c>
      <c r="AI22" s="97">
        <f t="shared" si="53"/>
        <v>0</v>
      </c>
      <c r="AJ22" s="70">
        <f t="shared" si="53"/>
        <v>0</v>
      </c>
      <c r="AK22" s="93">
        <f t="shared" si="33"/>
        <v>0</v>
      </c>
      <c r="AL22" s="97">
        <f t="shared" si="54"/>
        <v>0</v>
      </c>
      <c r="AM22" s="63">
        <f t="shared" si="54"/>
        <v>0</v>
      </c>
      <c r="AN22" s="93">
        <f t="shared" si="34"/>
        <v>0</v>
      </c>
      <c r="AO22" s="94">
        <f t="shared" si="36"/>
        <v>0</v>
      </c>
      <c r="AP22" s="95">
        <f t="shared" si="37"/>
        <v>0</v>
      </c>
      <c r="AQ22" s="96">
        <f t="shared" si="38"/>
        <v>0</v>
      </c>
      <c r="AR22" s="97" t="str">
        <f t="shared" si="39"/>
        <v>Ændring skyldig moms</v>
      </c>
      <c r="AS22" s="70"/>
      <c r="AT22" s="96">
        <v>4554</v>
      </c>
      <c r="AU22" s="98">
        <f>INDEX(AW22:BH22,1,$I$1)</f>
        <v>0</v>
      </c>
      <c r="AV22" s="96">
        <f>AU22-AT22</f>
        <v>-4554</v>
      </c>
      <c r="AW22" s="3">
        <f>AL22+AI22+AF22+AC22+Z22+W22+T22+Q22+N22+K22+H22+F22</f>
        <v>0</v>
      </c>
      <c r="AX22" s="3">
        <f>AL22+AI22+AF22+AC22+Z22+W22+T22+Q22+N22+K22+I22+F22</f>
        <v>0</v>
      </c>
      <c r="AY22" s="3">
        <f>AL22+AI22+AF22+AC22+Z22+W22+T22+Q22+N22+L22+I22+F22</f>
        <v>0</v>
      </c>
      <c r="AZ22" s="3">
        <f>AL22+AI22+AF22+AC22+Z22+W22+T22+Q22+O22+L22+I22+F22</f>
        <v>0</v>
      </c>
      <c r="BA22" s="3">
        <f>AL22+AI22+AF22+AC22+Z22+W22+T22+R22+O22+L22+I22+F22</f>
        <v>0</v>
      </c>
      <c r="BB22" s="3">
        <f>AL22+AI22+AF22+AC22+Z22+W22+U22+R22+O22+L22+I22+F22</f>
        <v>0</v>
      </c>
      <c r="BC22" s="3">
        <f>AL22+AI22+AF22+AC22+Z22+X22+U22+R22+O22+L22+I22+F22</f>
        <v>0</v>
      </c>
      <c r="BD22" s="3">
        <f>AL22+AI22+AF22+AC22+AA22+X22+U22+R22+O22+L22+I22+F22</f>
        <v>0</v>
      </c>
      <c r="BE22" s="3">
        <f>AL22+AI22+AF22+AD22+AA22+X22+U22+R22+O22+L22+I22+F22</f>
        <v>0</v>
      </c>
      <c r="BF22" s="3">
        <f>AL22+AI22+AG22+AD22+AA22+X22+U22+R22+O22+L22+I22+F22</f>
        <v>0</v>
      </c>
      <c r="BG22" s="3">
        <f>AL22+AJ22+AG22+AD22+AA22+X22+U22+R22+O22+L22+I22+F22</f>
        <v>0</v>
      </c>
      <c r="BH22" s="3">
        <f>AM22+AJ22+AG22+AD22+AA22+X22+U22+R22+O22+L22+I22+F22</f>
        <v>0</v>
      </c>
      <c r="BI22" s="3">
        <f t="shared" si="43"/>
        <v>0</v>
      </c>
      <c r="BJ22" s="3">
        <f>BI22+H22</f>
        <v>0</v>
      </c>
      <c r="BK22" s="3">
        <f>BJ22+K22</f>
        <v>0</v>
      </c>
      <c r="BL22" s="3">
        <f>BK22+N22</f>
        <v>0</v>
      </c>
      <c r="BM22" s="3">
        <f>BL22+Q22</f>
        <v>0</v>
      </c>
      <c r="BN22" s="3">
        <f>BM22+T22</f>
        <v>0</v>
      </c>
      <c r="BO22" s="3">
        <f>BN22+W22</f>
        <v>0</v>
      </c>
      <c r="BP22" s="3">
        <f>BO22+Z22</f>
        <v>0</v>
      </c>
      <c r="BQ22" s="3">
        <f>BP22+AC22</f>
        <v>0</v>
      </c>
      <c r="BR22" s="3">
        <f>+BQ22+AF22</f>
        <v>0</v>
      </c>
      <c r="BS22" s="3">
        <f>+BR22+AI22</f>
        <v>0</v>
      </c>
      <c r="BT22" s="3">
        <f>BS22+AL22</f>
        <v>0</v>
      </c>
      <c r="BU22" s="3">
        <f>F22</f>
        <v>0</v>
      </c>
      <c r="BV22" s="3">
        <f>BU22+I22</f>
        <v>0</v>
      </c>
      <c r="BW22" s="3">
        <f>BV22+L22</f>
        <v>0</v>
      </c>
      <c r="BX22" s="3">
        <f>BW22+O22</f>
        <v>0</v>
      </c>
      <c r="BY22" s="3">
        <f>BX22+R22</f>
        <v>0</v>
      </c>
      <c r="BZ22" s="3">
        <f>BY22+U22</f>
        <v>0</v>
      </c>
      <c r="CA22" s="3">
        <f>BZ22+X22</f>
        <v>0</v>
      </c>
      <c r="CB22" s="3">
        <f>CA22+AA22</f>
        <v>0</v>
      </c>
      <c r="CC22" s="3">
        <f>CB22+AD22</f>
        <v>0</v>
      </c>
      <c r="CD22" s="3">
        <f>+CC22+AG22</f>
        <v>0</v>
      </c>
      <c r="CE22" s="3">
        <f>+CD22+AJ22</f>
        <v>0</v>
      </c>
      <c r="CF22" s="3">
        <f>CE22+AM22</f>
        <v>0</v>
      </c>
    </row>
    <row r="23" spans="1:94" s="3" customFormat="1" hidden="1" x14ac:dyDescent="0.2">
      <c r="A23" s="70"/>
      <c r="B23" s="64"/>
      <c r="C23" s="70" t="s">
        <v>88</v>
      </c>
      <c r="D23" s="70"/>
      <c r="E23" s="114">
        <f>D42-E42</f>
        <v>0</v>
      </c>
      <c r="F23" s="70">
        <f>F42-D42</f>
        <v>0</v>
      </c>
      <c r="G23" s="93">
        <f t="shared" ref="G23" si="61">F23-E23</f>
        <v>0</v>
      </c>
      <c r="H23" s="97">
        <f>E42-H42</f>
        <v>0</v>
      </c>
      <c r="I23" s="70">
        <f>I42-F42</f>
        <v>0</v>
      </c>
      <c r="J23" s="93">
        <f t="shared" si="24"/>
        <v>0</v>
      </c>
      <c r="K23" s="97">
        <f>H42-K42</f>
        <v>0</v>
      </c>
      <c r="L23" s="70">
        <f>L42-I42</f>
        <v>0</v>
      </c>
      <c r="M23" s="93">
        <f t="shared" ref="M23" si="62">L23-K23</f>
        <v>0</v>
      </c>
      <c r="N23" s="97">
        <f>K42-N42</f>
        <v>0</v>
      </c>
      <c r="O23" s="70">
        <f>O42-L42</f>
        <v>0</v>
      </c>
      <c r="P23" s="93">
        <f t="shared" ref="P23" si="63">O23-N23</f>
        <v>0</v>
      </c>
      <c r="Q23" s="97">
        <f>N42-Q42</f>
        <v>0</v>
      </c>
      <c r="R23" s="70">
        <f>-R42+O42</f>
        <v>0</v>
      </c>
      <c r="S23" s="93">
        <f t="shared" ref="S23" si="64">R23-Q23</f>
        <v>0</v>
      </c>
      <c r="T23" s="97">
        <f>Q42-T42</f>
        <v>0</v>
      </c>
      <c r="U23" s="70">
        <f>-U42+R42</f>
        <v>0</v>
      </c>
      <c r="V23" s="93">
        <f t="shared" ref="V23" si="65">U23-T23</f>
        <v>0</v>
      </c>
      <c r="W23" s="97">
        <f>T42-W42</f>
        <v>0</v>
      </c>
      <c r="X23" s="70">
        <f>-X42+U42</f>
        <v>0</v>
      </c>
      <c r="Y23" s="93">
        <f t="shared" si="29"/>
        <v>0</v>
      </c>
      <c r="Z23" s="97">
        <f>W42-Z42</f>
        <v>0</v>
      </c>
      <c r="AA23" s="70">
        <f>-AA42+X42</f>
        <v>0</v>
      </c>
      <c r="AB23" s="93">
        <f t="shared" si="30"/>
        <v>0</v>
      </c>
      <c r="AC23" s="97">
        <f>Z42-AC42</f>
        <v>0</v>
      </c>
      <c r="AD23" s="70">
        <f>-AD42+AA42</f>
        <v>0</v>
      </c>
      <c r="AE23" s="93">
        <f t="shared" si="31"/>
        <v>0</v>
      </c>
      <c r="AF23" s="97">
        <f>AC42-AF42</f>
        <v>0</v>
      </c>
      <c r="AG23" s="70">
        <f>-AG42+AD42</f>
        <v>0</v>
      </c>
      <c r="AH23" s="93">
        <f t="shared" si="32"/>
        <v>0</v>
      </c>
      <c r="AI23" s="97">
        <f>AF42-AI42</f>
        <v>0</v>
      </c>
      <c r="AJ23" s="70">
        <f>-AJ42+AG42</f>
        <v>0</v>
      </c>
      <c r="AK23" s="93">
        <f t="shared" si="33"/>
        <v>0</v>
      </c>
      <c r="AL23" s="97">
        <f>AI42-AL42</f>
        <v>0</v>
      </c>
      <c r="AM23" s="63">
        <f>-AM42+AJ42</f>
        <v>0</v>
      </c>
      <c r="AN23" s="93">
        <f t="shared" si="34"/>
        <v>0</v>
      </c>
      <c r="AO23" s="94">
        <f t="shared" si="36"/>
        <v>0</v>
      </c>
      <c r="AP23" s="95">
        <f t="shared" si="37"/>
        <v>0</v>
      </c>
      <c r="AQ23" s="96">
        <f t="shared" si="38"/>
        <v>0</v>
      </c>
      <c r="AR23" s="97" t="str">
        <f t="shared" ref="AR23" si="66">C23</f>
        <v>Ændring skyldige lønomkostninger</v>
      </c>
      <c r="AS23" s="70"/>
      <c r="AT23" s="96">
        <f>BT23</f>
        <v>0</v>
      </c>
      <c r="AU23" s="98">
        <f t="shared" si="40"/>
        <v>0</v>
      </c>
      <c r="AV23" s="96">
        <f>AU23-AT23</f>
        <v>0</v>
      </c>
      <c r="AW23" s="3">
        <f>AL23+AI23+AF23+AC23+Z23+W23+T23+Q23+N23+K23+H23+F23</f>
        <v>0</v>
      </c>
      <c r="AX23" s="3">
        <f>AL23+AI23+AF23+AC23+Z23+W23+T23+Q23+N23+K23+I23+F23</f>
        <v>0</v>
      </c>
      <c r="AY23" s="3">
        <f>AL23+AI23+AF23+AC23+Z23+W23+T23+Q23+N23+L23+I23+F23</f>
        <v>0</v>
      </c>
      <c r="AZ23" s="3">
        <f>AL23+AI23+AF23+AC23+Z23+W23+T23+Q23+O23+L23+I23+F23</f>
        <v>0</v>
      </c>
      <c r="BA23" s="3">
        <f>AL23+AI23+AF23+AC23+Z23+W23+T23+R23+O23+L23+I23+F23</f>
        <v>0</v>
      </c>
      <c r="BB23" s="3">
        <f>AL23+AI23+AF23+AC23+Z23+W23+U23+R23+O23+L23+I23+F23</f>
        <v>0</v>
      </c>
      <c r="BC23" s="3">
        <f>AL23+AI23+AF23+AC23+Z23+X23+U23+R23+O23+L23+I23+F23</f>
        <v>0</v>
      </c>
      <c r="BD23" s="3">
        <f>AL23+AI23+AF23+AC23+AA23+X23+U23+R23+O23+L23+I23+F23</f>
        <v>0</v>
      </c>
      <c r="BE23" s="3">
        <f>AL23+AI23+AF23+AD23+AA23+X23+U23+R23+O23+L23+I23+F23</f>
        <v>0</v>
      </c>
      <c r="BF23" s="3">
        <f>AL23+AI23+AG23+AD23+AA23+X23+U23+R23+O23+L23+I23+F23</f>
        <v>0</v>
      </c>
      <c r="BG23" s="3">
        <f>AL23+AJ23+AG23+AD23+AA23+X23+U23+R23+O23+L23+I23+F23</f>
        <v>0</v>
      </c>
      <c r="BH23" s="3">
        <f>AM23+AJ23+AG23+AD23+AA23+X23+U23+R23+O23+L23+I23+F23</f>
        <v>0</v>
      </c>
      <c r="BI23" s="3">
        <f t="shared" si="43"/>
        <v>0</v>
      </c>
      <c r="BJ23" s="3">
        <f>BI23+H23</f>
        <v>0</v>
      </c>
      <c r="BK23" s="3">
        <f>BJ23+K23</f>
        <v>0</v>
      </c>
      <c r="BL23" s="3">
        <f>BK23+N23</f>
        <v>0</v>
      </c>
      <c r="BM23" s="3">
        <f>BL23+Q23</f>
        <v>0</v>
      </c>
      <c r="BN23" s="3">
        <f>BM23+T23</f>
        <v>0</v>
      </c>
      <c r="BO23" s="3">
        <f>BN23+W23</f>
        <v>0</v>
      </c>
      <c r="BP23" s="3">
        <f>BO23+Z23</f>
        <v>0</v>
      </c>
      <c r="BQ23" s="3">
        <f>BP23+AC23</f>
        <v>0</v>
      </c>
      <c r="BR23" s="3">
        <f>+BQ23+AF23</f>
        <v>0</v>
      </c>
      <c r="BS23" s="3">
        <f>+BR23+AI23</f>
        <v>0</v>
      </c>
      <c r="BT23" s="3">
        <f>BS23+AL23</f>
        <v>0</v>
      </c>
      <c r="BU23" s="3">
        <f>F23</f>
        <v>0</v>
      </c>
      <c r="BV23" s="3">
        <f>BU23+I23</f>
        <v>0</v>
      </c>
      <c r="BW23" s="3">
        <f>BV23+L23</f>
        <v>0</v>
      </c>
      <c r="BX23" s="3">
        <f>BW23+O23</f>
        <v>0</v>
      </c>
      <c r="BY23" s="3">
        <f>BX23+R23</f>
        <v>0</v>
      </c>
      <c r="BZ23" s="3">
        <f>BY23+U23</f>
        <v>0</v>
      </c>
      <c r="CA23" s="3">
        <f>BZ23+X23</f>
        <v>0</v>
      </c>
      <c r="CB23" s="3">
        <f>CA23+AA23</f>
        <v>0</v>
      </c>
      <c r="CC23" s="3">
        <f>CB23+AD23</f>
        <v>0</v>
      </c>
      <c r="CD23" s="3">
        <f>+CC23+AG23</f>
        <v>0</v>
      </c>
      <c r="CE23" s="3">
        <f>+CD23+AJ23</f>
        <v>0</v>
      </c>
      <c r="CF23" s="3">
        <f>CE23+AM23</f>
        <v>0</v>
      </c>
    </row>
    <row r="24" spans="1:94" s="3" customFormat="1" hidden="1" x14ac:dyDescent="0.2">
      <c r="A24" s="70"/>
      <c r="B24" s="64"/>
      <c r="C24" s="70"/>
      <c r="D24" s="70"/>
      <c r="E24" s="114"/>
      <c r="F24" s="70"/>
      <c r="G24" s="93"/>
      <c r="H24" s="97"/>
      <c r="I24" s="70"/>
      <c r="J24" s="93">
        <f t="shared" si="24"/>
        <v>0</v>
      </c>
      <c r="K24" s="97"/>
      <c r="L24" s="70"/>
      <c r="M24" s="93"/>
      <c r="N24" s="97"/>
      <c r="O24" s="70"/>
      <c r="P24" s="93"/>
      <c r="Q24" s="97"/>
      <c r="R24" s="70"/>
      <c r="S24" s="93"/>
      <c r="T24" s="97"/>
      <c r="U24" s="70"/>
      <c r="V24" s="93"/>
      <c r="W24" s="97"/>
      <c r="X24" s="70"/>
      <c r="Y24" s="93">
        <f t="shared" si="29"/>
        <v>0</v>
      </c>
      <c r="Z24" s="97"/>
      <c r="AA24" s="70"/>
      <c r="AB24" s="93">
        <f t="shared" si="30"/>
        <v>0</v>
      </c>
      <c r="AC24" s="97"/>
      <c r="AD24" s="70"/>
      <c r="AE24" s="93">
        <f t="shared" si="31"/>
        <v>0</v>
      </c>
      <c r="AF24" s="97"/>
      <c r="AG24" s="70"/>
      <c r="AH24" s="93">
        <f t="shared" si="32"/>
        <v>0</v>
      </c>
      <c r="AI24" s="97"/>
      <c r="AJ24" s="70"/>
      <c r="AK24" s="93">
        <f t="shared" si="33"/>
        <v>0</v>
      </c>
      <c r="AL24" s="97"/>
      <c r="AM24" s="63"/>
      <c r="AN24" s="93">
        <f t="shared" si="34"/>
        <v>0</v>
      </c>
      <c r="AO24" s="112">
        <f t="shared" si="35"/>
        <v>0</v>
      </c>
      <c r="AP24" s="115">
        <f t="shared" ref="AP24" si="67">AM24+AJ24+AG24+AD24+AA24+X24+U24+R24+O24+L24+I24+F24</f>
        <v>0</v>
      </c>
      <c r="AQ24" s="96">
        <f t="shared" si="38"/>
        <v>0</v>
      </c>
      <c r="AR24" s="97">
        <f t="shared" si="39"/>
        <v>0</v>
      </c>
      <c r="AS24" s="70"/>
      <c r="AT24" s="96">
        <v>0</v>
      </c>
      <c r="AU24" s="98">
        <f t="shared" si="40"/>
        <v>0</v>
      </c>
      <c r="AV24" s="96">
        <f>AU24-AT24</f>
        <v>0</v>
      </c>
      <c r="AW24" s="3">
        <f>AL24+AI24+AF24+AC24+Z24+W24+T24+Q24+N24+K24+H24+F24</f>
        <v>0</v>
      </c>
      <c r="AX24" s="3">
        <f>AL24+AI24+AF24+AC24+Z24+W24+T24+Q24+N24+K24+I24+F24</f>
        <v>0</v>
      </c>
      <c r="AY24" s="3">
        <f>AL24+AI24+AF24+AC24+Z24+W24+T24+Q24+N24+L24+I24+F24</f>
        <v>0</v>
      </c>
      <c r="AZ24" s="3">
        <f>AL24+AI24+AF24+AC24+Z24+W24+T24+Q24+O24+L24+I24+F24</f>
        <v>0</v>
      </c>
      <c r="BA24" s="3">
        <f>AL24+AI24+AF24+AC24+Z24+W24+T24+R24+O24+L24+I24+F24</f>
        <v>0</v>
      </c>
      <c r="BB24" s="3">
        <f>AL24+AI24+AF24+AC24+Z24+W24+U24+R24+O24+L24+I24+F24</f>
        <v>0</v>
      </c>
      <c r="BC24" s="3">
        <f>AL24+AI24+AF24+AC24+Z24+X24+U24+R24+O24+L24+I24+F24</f>
        <v>0</v>
      </c>
      <c r="BD24" s="3">
        <f>AL24+AI24+AF24+AC24+AA24+X24+U24+R24+O24+L24+I24+F24</f>
        <v>0</v>
      </c>
      <c r="BE24" s="3">
        <f>AL24+AI24+AF24+AD24+AA24+X24+U24+R24+O24+L24+I24+F24</f>
        <v>0</v>
      </c>
      <c r="BF24" s="3">
        <f>AL24+AI24+AG24+AD24+AA24+X24+U24+R24+O24+L24+I24+F24</f>
        <v>0</v>
      </c>
      <c r="BG24" s="3">
        <f>AL24+AJ24+AG24+AD24+AA24+X24+U24+R24+O24+L24+I24+F24</f>
        <v>0</v>
      </c>
      <c r="BH24" s="3">
        <f>AM24+AJ24+AG24+AD24+AA24+X24+U24+R24+O24+L24+I24+F24</f>
        <v>0</v>
      </c>
    </row>
    <row r="25" spans="1:94" s="3" customFormat="1" hidden="1" x14ac:dyDescent="0.2">
      <c r="A25" s="70"/>
      <c r="B25" s="116"/>
      <c r="C25" s="70" t="s">
        <v>6</v>
      </c>
      <c r="D25" s="70"/>
      <c r="E25" s="114">
        <f>SUM(E15:E24)</f>
        <v>0</v>
      </c>
      <c r="F25" s="70">
        <f>SUM(F15:F24)</f>
        <v>0</v>
      </c>
      <c r="G25" s="93">
        <f t="shared" si="23"/>
        <v>0</v>
      </c>
      <c r="H25" s="97">
        <f>SUM(H15:H24)</f>
        <v>0</v>
      </c>
      <c r="I25" s="70">
        <f>SUM(I15:I24)</f>
        <v>0</v>
      </c>
      <c r="J25" s="93">
        <f t="shared" si="24"/>
        <v>0</v>
      </c>
      <c r="K25" s="97">
        <f>SUM(K15:K24)</f>
        <v>0</v>
      </c>
      <c r="L25" s="70">
        <f>SUM(L15:L24)</f>
        <v>0</v>
      </c>
      <c r="M25" s="93">
        <f t="shared" ref="M25:M26" si="68">L25-K25</f>
        <v>0</v>
      </c>
      <c r="N25" s="97">
        <f>SUM(N15:N24)</f>
        <v>0</v>
      </c>
      <c r="O25" s="70">
        <f>SUM(O15:O24)</f>
        <v>0</v>
      </c>
      <c r="P25" s="93">
        <f t="shared" ref="P25:P26" si="69">O25-N25</f>
        <v>0</v>
      </c>
      <c r="Q25" s="97">
        <f>SUM(Q15:Q24)</f>
        <v>0</v>
      </c>
      <c r="R25" s="70">
        <f>SUM(R15:R24)</f>
        <v>0</v>
      </c>
      <c r="S25" s="93">
        <f t="shared" ref="S25:S26" si="70">R25-Q25</f>
        <v>0</v>
      </c>
      <c r="T25" s="97">
        <f>SUM(T15:T24)</f>
        <v>0</v>
      </c>
      <c r="U25" s="70">
        <f>SUM(U15:U24)</f>
        <v>0</v>
      </c>
      <c r="V25" s="93">
        <f t="shared" ref="V25:V26" si="71">U25-T25</f>
        <v>0</v>
      </c>
      <c r="W25" s="97">
        <f>SUM(W15:W24)</f>
        <v>0</v>
      </c>
      <c r="X25" s="70">
        <f>SUM(X15:X24)</f>
        <v>0</v>
      </c>
      <c r="Y25" s="93">
        <f t="shared" si="29"/>
        <v>0</v>
      </c>
      <c r="Z25" s="97">
        <f>SUM(Z15:Z24)</f>
        <v>0</v>
      </c>
      <c r="AA25" s="70">
        <f>SUM(AA15:AA24)</f>
        <v>0</v>
      </c>
      <c r="AB25" s="93">
        <f t="shared" si="30"/>
        <v>0</v>
      </c>
      <c r="AC25" s="97">
        <f>SUM(AC15:AC24)</f>
        <v>0</v>
      </c>
      <c r="AD25" s="70">
        <f>SUM(AD15:AD24)</f>
        <v>0</v>
      </c>
      <c r="AE25" s="93">
        <f t="shared" si="31"/>
        <v>0</v>
      </c>
      <c r="AF25" s="97">
        <f>SUM(AF15:AF24)</f>
        <v>0</v>
      </c>
      <c r="AG25" s="70">
        <f>SUM(AG15:AG24)</f>
        <v>0</v>
      </c>
      <c r="AH25" s="93">
        <f t="shared" si="32"/>
        <v>0</v>
      </c>
      <c r="AI25" s="97">
        <f>SUM(AI15:AI24)</f>
        <v>0</v>
      </c>
      <c r="AJ25" s="70">
        <f>SUM(AJ15:AJ24)</f>
        <v>0</v>
      </c>
      <c r="AK25" s="93">
        <f t="shared" si="33"/>
        <v>0</v>
      </c>
      <c r="AL25" s="97">
        <f>SUM(AL15:AL24)</f>
        <v>0</v>
      </c>
      <c r="AM25" s="63">
        <f>SUM(AM15:AM24)</f>
        <v>0</v>
      </c>
      <c r="AN25" s="93">
        <f t="shared" si="34"/>
        <v>0</v>
      </c>
      <c r="AO25" s="94">
        <f>SUM(AO15:AO24)</f>
        <v>0</v>
      </c>
      <c r="AP25" s="95">
        <f>SUM(AP15:AP24)</f>
        <v>0</v>
      </c>
      <c r="AQ25" s="96">
        <f>AP25-AO25</f>
        <v>0</v>
      </c>
      <c r="AR25" s="97" t="s">
        <v>23</v>
      </c>
      <c r="AS25" s="70"/>
      <c r="AT25" s="96">
        <f>SUM(AT15:AT24)</f>
        <v>165140</v>
      </c>
      <c r="AU25" s="98">
        <f>SUM(AU15:AU24)</f>
        <v>0</v>
      </c>
      <c r="AV25" s="96">
        <f>AU25-AT25</f>
        <v>-165140</v>
      </c>
      <c r="AW25" s="3">
        <f>AL25+AI25+AF25+AC25+Z25+W25+T25+Q25+N25+K25+H25+F25</f>
        <v>0</v>
      </c>
      <c r="AX25" s="3">
        <f>AL25+AI25+AF25+AC25+Z25+W25+T25+Q25+N25+K25+I25+F25</f>
        <v>0</v>
      </c>
      <c r="AY25" s="3">
        <f>AL25+AI25+AF25+AC25+Z25+W25+T25+Q25+N25+L25+I25+F25</f>
        <v>0</v>
      </c>
      <c r="AZ25" s="3">
        <f>AL25+AI25+AF25+AC25+Z25+W25+T25+Q25+O25+L25+I25+F25</f>
        <v>0</v>
      </c>
      <c r="BA25" s="3">
        <f>AL25+AI25+AF25+AC25+Z25+W25+T25+R25+O25+L25+I25+F25</f>
        <v>0</v>
      </c>
      <c r="BB25" s="3">
        <f>AL25+AI25+AF25+AC25+Z25+W25+U25+R25+O25+L25+I25+F25</f>
        <v>0</v>
      </c>
      <c r="BC25" s="3">
        <f>AL25+AI25+AF25+AC25+Z25+X25+U25+R25+O25+L25+I25+F25</f>
        <v>0</v>
      </c>
      <c r="BD25" s="3">
        <f>AL25+AI25+AF25+AC25+AA25+X25+U25+R25+O25+L25+I25+F25</f>
        <v>0</v>
      </c>
      <c r="BE25" s="3">
        <f>AL25+AI25+AF25+AD25+AA25+X25+U25+R25+O25+L25+I25+F25</f>
        <v>0</v>
      </c>
      <c r="BF25" s="3">
        <f>AL25+AI25+AG25+AD25+AA25+X25+U25+R25+O25+L25+I25+F25</f>
        <v>0</v>
      </c>
      <c r="BG25" s="3">
        <f>AL25+AJ25+AG25+AD25+AA25+X25+U25+R25+O25+L25+I25+F25</f>
        <v>0</v>
      </c>
      <c r="BH25" s="3">
        <f>AM25+AJ25+AG25+AD25+AA25+X25+U25+R25+O25+L25+I25+F25</f>
        <v>0</v>
      </c>
    </row>
    <row r="26" spans="1:94" s="3" customFormat="1" hidden="1" x14ac:dyDescent="0.2">
      <c r="A26" s="70"/>
      <c r="B26" s="70"/>
      <c r="C26" s="70" t="s">
        <v>5</v>
      </c>
      <c r="D26" s="70"/>
      <c r="E26" s="114">
        <f>IF($F$1=3,E53,E52)</f>
        <v>0</v>
      </c>
      <c r="F26" s="70">
        <f>D28+F25</f>
        <v>0</v>
      </c>
      <c r="G26" s="93">
        <f t="shared" si="23"/>
        <v>0</v>
      </c>
      <c r="H26" s="97">
        <f>IF($F$1=3,H53,H52)</f>
        <v>0</v>
      </c>
      <c r="I26" s="70">
        <f>F28+I25</f>
        <v>0</v>
      </c>
      <c r="J26" s="93">
        <f t="shared" si="24"/>
        <v>0</v>
      </c>
      <c r="K26" s="97">
        <f>IF($F$1=3,K53,K52)</f>
        <v>0</v>
      </c>
      <c r="L26" s="70">
        <f>I28+L25</f>
        <v>0</v>
      </c>
      <c r="M26" s="93">
        <f t="shared" si="68"/>
        <v>0</v>
      </c>
      <c r="N26" s="97">
        <f>IF($F$1=3,N53,N52)</f>
        <v>0</v>
      </c>
      <c r="O26" s="70">
        <f>L28+O25</f>
        <v>0</v>
      </c>
      <c r="P26" s="93">
        <f t="shared" si="69"/>
        <v>0</v>
      </c>
      <c r="Q26" s="97">
        <f>IF($F$1=3,Q53,Q52)</f>
        <v>0</v>
      </c>
      <c r="R26" s="70">
        <f>O28+R25</f>
        <v>0</v>
      </c>
      <c r="S26" s="93">
        <f t="shared" si="70"/>
        <v>0</v>
      </c>
      <c r="T26" s="97">
        <f>IF($F$1=3,T53,T52)</f>
        <v>0</v>
      </c>
      <c r="U26" s="70">
        <f>R28+U25</f>
        <v>0</v>
      </c>
      <c r="V26" s="93">
        <f t="shared" si="71"/>
        <v>0</v>
      </c>
      <c r="W26" s="97">
        <f>IF($F$1=3,W53,W52)</f>
        <v>0</v>
      </c>
      <c r="X26" s="70">
        <f>U28+X25</f>
        <v>0</v>
      </c>
      <c r="Y26" s="93">
        <f t="shared" si="29"/>
        <v>0</v>
      </c>
      <c r="Z26" s="97">
        <f>IF($F$1=3,Z53,Z52)</f>
        <v>0</v>
      </c>
      <c r="AA26" s="70">
        <f>X28+AA25</f>
        <v>0</v>
      </c>
      <c r="AB26" s="93">
        <f t="shared" si="30"/>
        <v>0</v>
      </c>
      <c r="AC26" s="97">
        <f>IF($F$1=3,AC53,AC52)</f>
        <v>0</v>
      </c>
      <c r="AD26" s="70">
        <f>AA28+AD25</f>
        <v>0</v>
      </c>
      <c r="AE26" s="93">
        <f t="shared" si="31"/>
        <v>0</v>
      </c>
      <c r="AF26" s="97">
        <f>IF($F$1=3,AF53,AF52)</f>
        <v>0</v>
      </c>
      <c r="AG26" s="70">
        <f>AD28+AG25</f>
        <v>0</v>
      </c>
      <c r="AH26" s="93">
        <f t="shared" si="32"/>
        <v>0</v>
      </c>
      <c r="AI26" s="97">
        <f>IF($F$1=3,AI53,AI52)</f>
        <v>0</v>
      </c>
      <c r="AJ26" s="70">
        <f>AG28+AJ25</f>
        <v>0</v>
      </c>
      <c r="AK26" s="93">
        <f t="shared" si="33"/>
        <v>0</v>
      </c>
      <c r="AL26" s="97">
        <f>IF($F$1=3,AL53,AL52)</f>
        <v>0</v>
      </c>
      <c r="AM26" s="63">
        <f>AJ28+AM25</f>
        <v>0</v>
      </c>
      <c r="AN26" s="93">
        <f t="shared" si="34"/>
        <v>0</v>
      </c>
      <c r="AO26" s="94"/>
      <c r="AP26" s="95"/>
      <c r="AQ26" s="96">
        <f>AO26-AP26</f>
        <v>0</v>
      </c>
      <c r="AR26" s="70"/>
      <c r="AS26" s="70"/>
      <c r="AT26" s="96"/>
      <c r="AU26" s="98"/>
      <c r="AV26" s="96">
        <f>AT26-AU26</f>
        <v>0</v>
      </c>
      <c r="AW26" s="3">
        <f>F26</f>
        <v>0</v>
      </c>
      <c r="AX26" s="3">
        <f>I26</f>
        <v>0</v>
      </c>
      <c r="AY26" s="3">
        <f>L26</f>
        <v>0</v>
      </c>
      <c r="AZ26" s="3">
        <f>O26</f>
        <v>0</v>
      </c>
      <c r="BA26" s="3">
        <f>R26</f>
        <v>0</v>
      </c>
      <c r="BB26" s="3">
        <f>U26</f>
        <v>0</v>
      </c>
      <c r="BC26" s="3">
        <f>X26</f>
        <v>0</v>
      </c>
      <c r="BD26" s="3">
        <f>AA26</f>
        <v>0</v>
      </c>
      <c r="BE26" s="3">
        <f>AD26</f>
        <v>0</v>
      </c>
      <c r="BF26" s="3">
        <f>AG26</f>
        <v>0</v>
      </c>
      <c r="BG26" s="3">
        <f>AJ26</f>
        <v>0</v>
      </c>
      <c r="BH26" s="3">
        <f>AM26</f>
        <v>0</v>
      </c>
    </row>
    <row r="27" spans="1:94" s="3" customFormat="1" hidden="1" x14ac:dyDescent="0.2">
      <c r="A27" s="70"/>
      <c r="B27" s="64"/>
      <c r="C27" s="70" t="s">
        <v>4</v>
      </c>
      <c r="D27" s="70"/>
      <c r="E27" s="97"/>
      <c r="F27" s="117">
        <f>F26-F28</f>
        <v>0</v>
      </c>
      <c r="G27" s="118"/>
      <c r="H27" s="119"/>
      <c r="I27" s="117">
        <f>I26-I28</f>
        <v>0</v>
      </c>
      <c r="J27" s="118"/>
      <c r="K27" s="119"/>
      <c r="L27" s="117">
        <f>L26-L28</f>
        <v>0</v>
      </c>
      <c r="M27" s="118"/>
      <c r="N27" s="119"/>
      <c r="O27" s="117">
        <f>O26-O28</f>
        <v>0</v>
      </c>
      <c r="P27" s="118"/>
      <c r="Q27" s="119"/>
      <c r="R27" s="117">
        <f>R26-R28</f>
        <v>0</v>
      </c>
      <c r="S27" s="118"/>
      <c r="T27" s="119"/>
      <c r="U27" s="117">
        <f>U26-U28</f>
        <v>0</v>
      </c>
      <c r="V27" s="118"/>
      <c r="W27" s="119"/>
      <c r="X27" s="117">
        <f>X26-X28</f>
        <v>0</v>
      </c>
      <c r="Y27" s="118"/>
      <c r="Z27" s="119"/>
      <c r="AA27" s="117">
        <f>AA26-AA28</f>
        <v>0</v>
      </c>
      <c r="AB27" s="118"/>
      <c r="AC27" s="119"/>
      <c r="AD27" s="117">
        <f>AD26-AD28</f>
        <v>0</v>
      </c>
      <c r="AE27" s="118"/>
      <c r="AF27" s="119"/>
      <c r="AG27" s="117">
        <f>AG26-AG28</f>
        <v>0</v>
      </c>
      <c r="AH27" s="118"/>
      <c r="AI27" s="119"/>
      <c r="AJ27" s="117">
        <f>AJ26-AJ28</f>
        <v>0</v>
      </c>
      <c r="AK27" s="118"/>
      <c r="AL27" s="119"/>
      <c r="AM27" s="117">
        <f>AM26-AM28</f>
        <v>0</v>
      </c>
      <c r="AN27" s="93"/>
      <c r="AO27" s="112">
        <f>AL27+AI27+AF27+AC27+Z27+W27+T27+Q27+N27+K27+H27+E27</f>
        <v>0</v>
      </c>
      <c r="AP27" s="115"/>
      <c r="AQ27" s="120">
        <f>AO27-AP27</f>
        <v>0</v>
      </c>
      <c r="AR27" s="70" t="str">
        <f>C27</f>
        <v>Diff</v>
      </c>
      <c r="AS27" s="70"/>
      <c r="AT27" s="96"/>
      <c r="AU27" s="98">
        <f>INDEX(AW27:BH27,1,$I$1)</f>
        <v>0</v>
      </c>
      <c r="AV27" s="120">
        <f>AT27-AU27</f>
        <v>0</v>
      </c>
      <c r="AW27" s="3">
        <f>F27</f>
        <v>0</v>
      </c>
      <c r="AX27" s="3">
        <f>I27</f>
        <v>0</v>
      </c>
      <c r="AY27" s="3">
        <f>L27</f>
        <v>0</v>
      </c>
      <c r="AZ27" s="3">
        <f>O27</f>
        <v>0</v>
      </c>
      <c r="BA27" s="3">
        <f>R27</f>
        <v>0</v>
      </c>
      <c r="BB27" s="3">
        <f>U27</f>
        <v>0</v>
      </c>
      <c r="BC27" s="3">
        <f>X27</f>
        <v>0</v>
      </c>
      <c r="BD27" s="3">
        <f>AA27</f>
        <v>0</v>
      </c>
      <c r="BE27" s="3">
        <f>AD27</f>
        <v>0</v>
      </c>
      <c r="BF27" s="3">
        <f>AG27</f>
        <v>0</v>
      </c>
      <c r="BG27" s="3">
        <f>AJ27</f>
        <v>0</v>
      </c>
      <c r="BH27" s="3">
        <f>AM27</f>
        <v>0</v>
      </c>
    </row>
    <row r="28" spans="1:94" s="5" customFormat="1" hidden="1" x14ac:dyDescent="0.2">
      <c r="A28" s="104" t="s">
        <v>59</v>
      </c>
      <c r="B28" s="103"/>
      <c r="C28" s="104"/>
      <c r="D28" s="104">
        <f>SUM(D35)</f>
        <v>0</v>
      </c>
      <c r="E28" s="121" t="str">
        <f>IF(RealMaaned&lt;1,E53,"")</f>
        <v/>
      </c>
      <c r="F28" s="104">
        <f>E53</f>
        <v>0</v>
      </c>
      <c r="G28" s="122"/>
      <c r="H28" s="121" t="str">
        <f>IF(RealMaaned&lt;2,H53,"")</f>
        <v/>
      </c>
      <c r="I28" s="104">
        <f>H53</f>
        <v>0</v>
      </c>
      <c r="J28" s="122"/>
      <c r="K28" s="121"/>
      <c r="L28" s="104">
        <f>K53</f>
        <v>0</v>
      </c>
      <c r="M28" s="122"/>
      <c r="N28" s="121"/>
      <c r="O28" s="104">
        <f>N53</f>
        <v>0</v>
      </c>
      <c r="P28" s="122"/>
      <c r="Q28" s="121"/>
      <c r="R28" s="104">
        <f>Q53</f>
        <v>0</v>
      </c>
      <c r="S28" s="122"/>
      <c r="T28" s="121"/>
      <c r="U28" s="104">
        <f>T53</f>
        <v>0</v>
      </c>
      <c r="V28" s="122"/>
      <c r="W28" s="121"/>
      <c r="X28" s="104">
        <f>W53</f>
        <v>0</v>
      </c>
      <c r="Y28" s="122"/>
      <c r="Z28" s="121"/>
      <c r="AA28" s="104">
        <f>Z53</f>
        <v>0</v>
      </c>
      <c r="AB28" s="122"/>
      <c r="AC28" s="121"/>
      <c r="AD28" s="104">
        <f>AC53</f>
        <v>0</v>
      </c>
      <c r="AE28" s="122"/>
      <c r="AF28" s="121"/>
      <c r="AG28" s="104">
        <f>AF53</f>
        <v>0</v>
      </c>
      <c r="AH28" s="122"/>
      <c r="AI28" s="121"/>
      <c r="AJ28" s="104">
        <f>AI53</f>
        <v>0</v>
      </c>
      <c r="AK28" s="122"/>
      <c r="AL28" s="121"/>
      <c r="AM28" s="104">
        <f>AL53</f>
        <v>0</v>
      </c>
      <c r="AN28" s="122"/>
      <c r="AO28" s="123">
        <f>AO25+D28</f>
        <v>0</v>
      </c>
      <c r="AP28" s="124">
        <f>D28+AP25</f>
        <v>0</v>
      </c>
      <c r="AQ28" s="109">
        <f>AP28-AO28</f>
        <v>0</v>
      </c>
      <c r="AR28" s="105" t="s">
        <v>25</v>
      </c>
      <c r="AS28" s="104"/>
      <c r="AT28" s="109">
        <f>AT25-5441</f>
        <v>159699</v>
      </c>
      <c r="AU28" s="110">
        <f>AU25+AU27+D28</f>
        <v>0</v>
      </c>
      <c r="AV28" s="109">
        <f>AU28-AT28</f>
        <v>-159699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</row>
    <row r="29" spans="1:94" s="3" customFormat="1" hidden="1" x14ac:dyDescent="0.2">
      <c r="A29" s="70"/>
      <c r="B29" s="64"/>
      <c r="C29" s="70"/>
      <c r="D29" s="111" t="s">
        <v>71</v>
      </c>
      <c r="E29" s="18">
        <v>0.5</v>
      </c>
      <c r="F29" s="125" t="str">
        <f>IF(F4&gt;0,F34/F4,"")</f>
        <v/>
      </c>
      <c r="G29" s="70"/>
      <c r="H29" s="18">
        <v>0.5</v>
      </c>
      <c r="I29" s="125" t="str">
        <f>IF(I4&gt;0,I34/I4,"")</f>
        <v/>
      </c>
      <c r="J29" s="70"/>
      <c r="K29" s="18">
        <v>0.5</v>
      </c>
      <c r="L29" s="125" t="str">
        <f>IF(L4&gt;0,L34/L4,"")</f>
        <v/>
      </c>
      <c r="M29" s="70"/>
      <c r="N29" s="18">
        <v>0.5</v>
      </c>
      <c r="O29" s="125" t="str">
        <f>IF(O4&gt;0,O34/O4,"")</f>
        <v/>
      </c>
      <c r="P29" s="70"/>
      <c r="Q29" s="18">
        <v>0.5</v>
      </c>
      <c r="R29" s="125" t="str">
        <f>IF(R4&gt;0,R34/R4,"")</f>
        <v/>
      </c>
      <c r="S29" s="70"/>
      <c r="T29" s="18">
        <v>0.5</v>
      </c>
      <c r="U29" s="125" t="str">
        <f>IF(U4&gt;0,U34/U4,"")</f>
        <v/>
      </c>
      <c r="V29" s="70"/>
      <c r="W29" s="18">
        <v>0.5</v>
      </c>
      <c r="X29" s="125" t="str">
        <f>IF(X4&gt;0,X34/X4,"")</f>
        <v/>
      </c>
      <c r="Y29" s="70"/>
      <c r="Z29" s="18">
        <v>0.5</v>
      </c>
      <c r="AA29" s="125" t="str">
        <f>IF(AA4&gt;0,AA34/AA4,"")</f>
        <v/>
      </c>
      <c r="AB29" s="70"/>
      <c r="AC29" s="18">
        <v>0.5</v>
      </c>
      <c r="AD29" s="125" t="str">
        <f>IF(AD4&gt;0,AD34/AD4,"")</f>
        <v/>
      </c>
      <c r="AE29" s="70"/>
      <c r="AF29" s="18">
        <v>0.5</v>
      </c>
      <c r="AG29" s="125" t="str">
        <f>IF(AG4&gt;0,AG34/AG4,"")</f>
        <v/>
      </c>
      <c r="AH29" s="70"/>
      <c r="AI29" s="18">
        <v>0.5</v>
      </c>
      <c r="AJ29" s="125" t="str">
        <f>IF(AJ4&gt;0,AJ34/AJ4,"")</f>
        <v/>
      </c>
      <c r="AK29" s="70"/>
      <c r="AL29" s="18">
        <v>0.5</v>
      </c>
      <c r="AM29" s="125" t="str">
        <f>IF(AM4&gt;0,AM34/AM4,"")</f>
        <v/>
      </c>
      <c r="AN29" s="70"/>
      <c r="AO29" s="72"/>
      <c r="AP29" s="70"/>
      <c r="AQ29" s="70"/>
      <c r="AR29" s="70"/>
      <c r="AS29" s="70"/>
      <c r="AT29" s="70"/>
      <c r="AU29" s="70"/>
      <c r="AV29" s="70"/>
    </row>
    <row r="30" spans="1:94" hidden="1" x14ac:dyDescent="0.2">
      <c r="A30" s="70"/>
      <c r="C30" s="70"/>
      <c r="D30" s="111" t="s">
        <v>70</v>
      </c>
      <c r="E30" s="18">
        <v>0.8</v>
      </c>
      <c r="F30" s="125" t="str">
        <f>IF(F40&lt;&gt;0,F40/SUM(F5:F14),"")</f>
        <v/>
      </c>
      <c r="G30" s="70"/>
      <c r="H30" s="18">
        <v>0.8</v>
      </c>
      <c r="I30" s="125" t="str">
        <f>IF(I40&lt;&gt;0,I40/SUM(I5:I14),"")</f>
        <v/>
      </c>
      <c r="J30" s="70"/>
      <c r="K30" s="18">
        <v>0.8</v>
      </c>
      <c r="L30" s="125" t="str">
        <f>IF(L40&lt;&gt;0,L40/SUM(L5:L14),"")</f>
        <v/>
      </c>
      <c r="M30" s="70"/>
      <c r="N30" s="18">
        <v>0.8</v>
      </c>
      <c r="O30" s="125" t="str">
        <f>IF(O40&lt;&gt;0,O40/SUM(O5:O14),"")</f>
        <v/>
      </c>
      <c r="P30" s="70"/>
      <c r="Q30" s="18">
        <v>0.8</v>
      </c>
      <c r="R30" s="125" t="str">
        <f>IF(R40&lt;&gt;0,R40/SUM(R5:R14),"")</f>
        <v/>
      </c>
      <c r="S30" s="70"/>
      <c r="T30" s="18">
        <v>0.8</v>
      </c>
      <c r="U30" s="125" t="str">
        <f>IF(U40&lt;&gt;0,U40/SUM(U5:U14),"")</f>
        <v/>
      </c>
      <c r="V30" s="70"/>
      <c r="W30" s="18">
        <v>0.8</v>
      </c>
      <c r="X30" s="125" t="str">
        <f>IF(X40&lt;&gt;0,X40/SUM(X5:X14),"")</f>
        <v/>
      </c>
      <c r="Y30" s="70"/>
      <c r="Z30" s="18">
        <v>0.8</v>
      </c>
      <c r="AA30" s="125" t="str">
        <f>IF(AA40&lt;&gt;0,AA40/SUM(AA5:AA14),"")</f>
        <v/>
      </c>
      <c r="AB30" s="70"/>
      <c r="AC30" s="18">
        <v>0.8</v>
      </c>
      <c r="AD30" s="125" t="str">
        <f>IF(AD40&lt;&gt;0,AD40/SUM(AD5:AD14),"")</f>
        <v/>
      </c>
      <c r="AE30" s="70"/>
      <c r="AF30" s="18">
        <v>0.8</v>
      </c>
      <c r="AG30" s="125" t="str">
        <f>IF(AG40&lt;&gt;0,AG40/SUM(AG5:AG14),"")</f>
        <v/>
      </c>
      <c r="AH30" s="70"/>
      <c r="AI30" s="18">
        <v>0.8</v>
      </c>
      <c r="AJ30" s="125" t="str">
        <f>IF(AJ40&lt;&gt;0,AJ40/SUM(AJ5:AJ14),"")</f>
        <v/>
      </c>
      <c r="AK30" s="70"/>
      <c r="AL30" s="18">
        <v>0.8</v>
      </c>
      <c r="AM30" s="125" t="str">
        <f>IF(AM40&lt;&gt;0,AM40/SUM(AM5:AM14),"")</f>
        <v/>
      </c>
      <c r="AN30" s="70"/>
      <c r="AO30" s="72"/>
      <c r="AP30" s="70"/>
      <c r="AQ30" s="70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94" hidden="1" x14ac:dyDescent="0.2">
      <c r="A31" s="70"/>
      <c r="C31" s="70"/>
      <c r="D31" s="126"/>
      <c r="E31" s="73" t="s">
        <v>14</v>
      </c>
      <c r="F31" s="74"/>
      <c r="G31" s="75"/>
      <c r="H31" s="73" t="s">
        <v>15</v>
      </c>
      <c r="I31" s="74"/>
      <c r="J31" s="75"/>
      <c r="K31" s="73" t="s">
        <v>16</v>
      </c>
      <c r="L31" s="74"/>
      <c r="M31" s="75"/>
      <c r="N31" s="73" t="s">
        <v>17</v>
      </c>
      <c r="O31" s="74"/>
      <c r="P31" s="75"/>
      <c r="Q31" s="73" t="s">
        <v>0</v>
      </c>
      <c r="R31" s="74"/>
      <c r="S31" s="75"/>
      <c r="T31" s="73" t="s">
        <v>18</v>
      </c>
      <c r="U31" s="74"/>
      <c r="V31" s="75"/>
      <c r="W31" s="73" t="s">
        <v>8</v>
      </c>
      <c r="X31" s="74"/>
      <c r="Y31" s="75"/>
      <c r="Z31" s="73" t="s">
        <v>9</v>
      </c>
      <c r="AA31" s="74"/>
      <c r="AB31" s="75"/>
      <c r="AC31" s="73" t="s">
        <v>10</v>
      </c>
      <c r="AD31" s="74"/>
      <c r="AE31" s="75"/>
      <c r="AF31" s="73" t="s">
        <v>11</v>
      </c>
      <c r="AG31" s="74"/>
      <c r="AH31" s="75"/>
      <c r="AI31" s="73" t="s">
        <v>12</v>
      </c>
      <c r="AJ31" s="74"/>
      <c r="AK31" s="75"/>
      <c r="AL31" s="73" t="s">
        <v>13</v>
      </c>
      <c r="AM31" s="74"/>
      <c r="AN31" s="75"/>
      <c r="AO31" s="99"/>
      <c r="AP31" s="70"/>
      <c r="AQ31" s="70"/>
    </row>
    <row r="32" spans="1:94" s="3" customFormat="1" hidden="1" x14ac:dyDescent="0.2">
      <c r="A32" s="64"/>
      <c r="B32" s="72" t="s">
        <v>60</v>
      </c>
      <c r="C32" s="70"/>
      <c r="D32" s="127" t="s">
        <v>61</v>
      </c>
      <c r="E32" s="82" t="s">
        <v>39</v>
      </c>
      <c r="F32" s="83" t="s">
        <v>2</v>
      </c>
      <c r="G32" s="84" t="s">
        <v>1</v>
      </c>
      <c r="H32" s="82" t="s">
        <v>40</v>
      </c>
      <c r="I32" s="83" t="s">
        <v>2</v>
      </c>
      <c r="J32" s="84" t="s">
        <v>1</v>
      </c>
      <c r="K32" s="82" t="s">
        <v>41</v>
      </c>
      <c r="L32" s="83" t="s">
        <v>2</v>
      </c>
      <c r="M32" s="84" t="s">
        <v>1</v>
      </c>
      <c r="N32" s="82" t="s">
        <v>42</v>
      </c>
      <c r="O32" s="83" t="s">
        <v>2</v>
      </c>
      <c r="P32" s="84" t="s">
        <v>1</v>
      </c>
      <c r="Q32" s="82" t="s">
        <v>43</v>
      </c>
      <c r="R32" s="83" t="s">
        <v>2</v>
      </c>
      <c r="S32" s="84" t="s">
        <v>1</v>
      </c>
      <c r="T32" s="82" t="s">
        <v>44</v>
      </c>
      <c r="U32" s="83" t="s">
        <v>2</v>
      </c>
      <c r="V32" s="84" t="s">
        <v>1</v>
      </c>
      <c r="W32" s="82" t="s">
        <v>45</v>
      </c>
      <c r="X32" s="83" t="s">
        <v>2</v>
      </c>
      <c r="Y32" s="84" t="s">
        <v>1</v>
      </c>
      <c r="Z32" s="82" t="s">
        <v>46</v>
      </c>
      <c r="AA32" s="83" t="s">
        <v>2</v>
      </c>
      <c r="AB32" s="84" t="s">
        <v>1</v>
      </c>
      <c r="AC32" s="82" t="s">
        <v>47</v>
      </c>
      <c r="AD32" s="83" t="s">
        <v>2</v>
      </c>
      <c r="AE32" s="84" t="s">
        <v>1</v>
      </c>
      <c r="AF32" s="82" t="s">
        <v>48</v>
      </c>
      <c r="AG32" s="83" t="s">
        <v>2</v>
      </c>
      <c r="AH32" s="84" t="s">
        <v>1</v>
      </c>
      <c r="AI32" s="82" t="s">
        <v>49</v>
      </c>
      <c r="AJ32" s="83" t="s">
        <v>2</v>
      </c>
      <c r="AK32" s="84" t="s">
        <v>1</v>
      </c>
      <c r="AL32" s="85" t="s">
        <v>50</v>
      </c>
      <c r="AM32" s="86" t="s">
        <v>2</v>
      </c>
      <c r="AN32" s="128" t="s">
        <v>1</v>
      </c>
      <c r="AO32" s="99"/>
      <c r="AP32" s="70"/>
      <c r="AQ32" s="70"/>
      <c r="AR32" s="72"/>
      <c r="AS32" s="72"/>
      <c r="AT32" s="70"/>
      <c r="AU32" s="129"/>
      <c r="AV32" s="63"/>
      <c r="AW32" s="12" t="s">
        <v>24</v>
      </c>
      <c r="AX32" s="12" t="s">
        <v>27</v>
      </c>
      <c r="AY32" s="12" t="s">
        <v>28</v>
      </c>
      <c r="AZ32" s="12" t="s">
        <v>29</v>
      </c>
      <c r="BA32" s="12" t="s">
        <v>30</v>
      </c>
      <c r="BB32" s="12" t="s">
        <v>0</v>
      </c>
      <c r="BC32" s="12" t="s">
        <v>31</v>
      </c>
      <c r="BD32" s="12" t="s">
        <v>32</v>
      </c>
      <c r="BE32" s="12" t="s">
        <v>33</v>
      </c>
      <c r="BF32" s="12" t="s">
        <v>34</v>
      </c>
      <c r="BG32" s="12" t="s">
        <v>35</v>
      </c>
      <c r="BH32" s="12" t="s">
        <v>36</v>
      </c>
      <c r="BI32" s="12" t="s">
        <v>37</v>
      </c>
    </row>
    <row r="33" spans="1:62" s="3" customFormat="1" hidden="1" x14ac:dyDescent="0.2">
      <c r="A33" s="64"/>
      <c r="B33" s="70" t="s">
        <v>73</v>
      </c>
      <c r="C33" s="70"/>
      <c r="D33" s="22"/>
      <c r="E33" s="21"/>
      <c r="F33" s="15"/>
      <c r="G33" s="130">
        <f t="shared" ref="G33:G43" si="72">E33-F33</f>
        <v>0</v>
      </c>
      <c r="H33" s="21"/>
      <c r="I33" s="15"/>
      <c r="J33" s="130">
        <f t="shared" ref="J33:J42" si="73">H33-I33</f>
        <v>0</v>
      </c>
      <c r="K33" s="21"/>
      <c r="L33" s="15"/>
      <c r="M33" s="130">
        <f t="shared" ref="M33:M42" si="74">K33-L33</f>
        <v>0</v>
      </c>
      <c r="N33" s="21"/>
      <c r="O33" s="15"/>
      <c r="P33" s="130">
        <f t="shared" ref="P33:P42" si="75">N33-O33</f>
        <v>0</v>
      </c>
      <c r="Q33" s="21"/>
      <c r="R33" s="15"/>
      <c r="S33" s="130">
        <f t="shared" ref="S33:S42" si="76">Q33-R33</f>
        <v>0</v>
      </c>
      <c r="T33" s="21"/>
      <c r="U33" s="15"/>
      <c r="V33" s="130">
        <f t="shared" ref="V33:V42" si="77">T33-U33</f>
        <v>0</v>
      </c>
      <c r="W33" s="21"/>
      <c r="X33" s="15"/>
      <c r="Y33" s="130">
        <f t="shared" ref="Y33:Y42" si="78">W33-X33</f>
        <v>0</v>
      </c>
      <c r="Z33" s="21"/>
      <c r="AA33" s="15"/>
      <c r="AB33" s="130">
        <f t="shared" ref="AB33:AB42" si="79">Z33-AA33</f>
        <v>0</v>
      </c>
      <c r="AC33" s="21"/>
      <c r="AD33" s="15"/>
      <c r="AE33" s="130">
        <f t="shared" ref="AE33:AE42" si="80">AC33-AD33</f>
        <v>0</v>
      </c>
      <c r="AF33" s="21"/>
      <c r="AG33" s="15"/>
      <c r="AH33" s="130">
        <f t="shared" ref="AH33:AH42" si="81">AF33-AG33</f>
        <v>0</v>
      </c>
      <c r="AI33" s="21"/>
      <c r="AJ33" s="15"/>
      <c r="AK33" s="130">
        <f t="shared" ref="AK33:AK42" si="82">AI33-AJ33</f>
        <v>0</v>
      </c>
      <c r="AL33" s="21"/>
      <c r="AM33" s="15"/>
      <c r="AN33" s="130">
        <f t="shared" ref="AN33:AN42" si="83">AL33-AM33</f>
        <v>0</v>
      </c>
      <c r="AO33" s="99"/>
      <c r="AP33" s="70"/>
      <c r="AQ33" s="70"/>
      <c r="AR33" s="70"/>
      <c r="AS33" s="70"/>
      <c r="AT33" s="70"/>
      <c r="AU33" s="63"/>
      <c r="AV33" s="131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3" t="s">
        <v>66</v>
      </c>
    </row>
    <row r="34" spans="1:62" s="3" customFormat="1" hidden="1" x14ac:dyDescent="0.2">
      <c r="A34" s="64"/>
      <c r="B34" s="70" t="s">
        <v>74</v>
      </c>
      <c r="C34" s="70"/>
      <c r="D34" s="16"/>
      <c r="E34" s="24"/>
      <c r="F34" s="16"/>
      <c r="G34" s="130">
        <f t="shared" si="72"/>
        <v>0</v>
      </c>
      <c r="H34" s="24">
        <f>H4*H29</f>
        <v>0</v>
      </c>
      <c r="I34" s="16"/>
      <c r="J34" s="130">
        <f t="shared" si="73"/>
        <v>0</v>
      </c>
      <c r="K34" s="24">
        <f>K4*K29</f>
        <v>0</v>
      </c>
      <c r="L34" s="16"/>
      <c r="M34" s="130">
        <f t="shared" si="74"/>
        <v>0</v>
      </c>
      <c r="N34" s="24">
        <f>N4*N29</f>
        <v>0</v>
      </c>
      <c r="O34" s="16"/>
      <c r="P34" s="130">
        <f t="shared" si="75"/>
        <v>0</v>
      </c>
      <c r="Q34" s="24">
        <f>Q4*Q29</f>
        <v>0</v>
      </c>
      <c r="R34" s="16"/>
      <c r="S34" s="130">
        <f t="shared" si="76"/>
        <v>0</v>
      </c>
      <c r="T34" s="24">
        <f>T4*T29</f>
        <v>0</v>
      </c>
      <c r="U34" s="16"/>
      <c r="V34" s="130">
        <f t="shared" si="77"/>
        <v>0</v>
      </c>
      <c r="W34" s="24">
        <f>W4*W29</f>
        <v>0</v>
      </c>
      <c r="X34" s="16"/>
      <c r="Y34" s="130">
        <f t="shared" si="78"/>
        <v>0</v>
      </c>
      <c r="Z34" s="24">
        <f>Z4*Z29</f>
        <v>0</v>
      </c>
      <c r="AA34" s="16"/>
      <c r="AB34" s="130">
        <f t="shared" si="79"/>
        <v>0</v>
      </c>
      <c r="AC34" s="24">
        <f>AC4*AC29</f>
        <v>0</v>
      </c>
      <c r="AD34" s="16"/>
      <c r="AE34" s="130">
        <f t="shared" si="80"/>
        <v>0</v>
      </c>
      <c r="AF34" s="24">
        <f>AF4*AF29</f>
        <v>0</v>
      </c>
      <c r="AG34" s="16"/>
      <c r="AH34" s="130">
        <f t="shared" si="81"/>
        <v>0</v>
      </c>
      <c r="AI34" s="24">
        <f>AI4*AI29</f>
        <v>0</v>
      </c>
      <c r="AJ34" s="16"/>
      <c r="AK34" s="130">
        <f t="shared" si="82"/>
        <v>0</v>
      </c>
      <c r="AL34" s="24">
        <f>AL4*AL29</f>
        <v>0</v>
      </c>
      <c r="AM34" s="16"/>
      <c r="AN34" s="130">
        <f t="shared" si="83"/>
        <v>0</v>
      </c>
      <c r="AO34" s="99"/>
      <c r="AP34" s="70"/>
      <c r="AQ34" s="70"/>
      <c r="AR34" s="70"/>
      <c r="AS34" s="70"/>
      <c r="AT34" s="70"/>
      <c r="AU34" s="63"/>
      <c r="AV34" s="132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3" t="s">
        <v>67</v>
      </c>
    </row>
    <row r="35" spans="1:62" s="3" customFormat="1" hidden="1" x14ac:dyDescent="0.2">
      <c r="A35" s="64"/>
      <c r="B35" s="63" t="s">
        <v>75</v>
      </c>
      <c r="C35" s="63"/>
      <c r="D35" s="17"/>
      <c r="E35" s="133">
        <f>E26</f>
        <v>0</v>
      </c>
      <c r="F35" s="17"/>
      <c r="G35" s="130">
        <f t="shared" si="72"/>
        <v>0</v>
      </c>
      <c r="H35" s="133">
        <f>H26</f>
        <v>0</v>
      </c>
      <c r="I35" s="17"/>
      <c r="J35" s="130">
        <f t="shared" si="73"/>
        <v>0</v>
      </c>
      <c r="K35" s="133">
        <f>K26</f>
        <v>0</v>
      </c>
      <c r="L35" s="17"/>
      <c r="M35" s="130">
        <f t="shared" si="74"/>
        <v>0</v>
      </c>
      <c r="N35" s="133">
        <f>N26</f>
        <v>0</v>
      </c>
      <c r="O35" s="17"/>
      <c r="P35" s="130">
        <f t="shared" si="75"/>
        <v>0</v>
      </c>
      <c r="Q35" s="133">
        <f>Q26</f>
        <v>0</v>
      </c>
      <c r="R35" s="17"/>
      <c r="S35" s="130">
        <f t="shared" si="76"/>
        <v>0</v>
      </c>
      <c r="T35" s="133">
        <f>T26</f>
        <v>0</v>
      </c>
      <c r="U35" s="17"/>
      <c r="V35" s="130">
        <f t="shared" si="77"/>
        <v>0</v>
      </c>
      <c r="W35" s="133">
        <f>W26</f>
        <v>0</v>
      </c>
      <c r="X35" s="17"/>
      <c r="Y35" s="130">
        <f t="shared" si="78"/>
        <v>0</v>
      </c>
      <c r="Z35" s="133">
        <f>Z26</f>
        <v>0</v>
      </c>
      <c r="AA35" s="17"/>
      <c r="AB35" s="130">
        <f t="shared" si="79"/>
        <v>0</v>
      </c>
      <c r="AC35" s="133">
        <f>AC26</f>
        <v>0</v>
      </c>
      <c r="AD35" s="17"/>
      <c r="AE35" s="130">
        <f t="shared" si="80"/>
        <v>0</v>
      </c>
      <c r="AF35" s="133">
        <f>AF26</f>
        <v>0</v>
      </c>
      <c r="AG35" s="17"/>
      <c r="AH35" s="130">
        <f t="shared" si="81"/>
        <v>0</v>
      </c>
      <c r="AI35" s="133">
        <f>AI26</f>
        <v>0</v>
      </c>
      <c r="AJ35" s="17"/>
      <c r="AK35" s="130">
        <f t="shared" si="82"/>
        <v>0</v>
      </c>
      <c r="AL35" s="133">
        <f>AL26</f>
        <v>0</v>
      </c>
      <c r="AM35" s="17"/>
      <c r="AN35" s="130">
        <f t="shared" si="83"/>
        <v>0</v>
      </c>
      <c r="AO35" s="134"/>
      <c r="AP35" s="63"/>
      <c r="AQ35" s="63"/>
      <c r="AR35" s="70"/>
      <c r="AS35" s="70"/>
      <c r="AT35" s="70"/>
      <c r="AU35" s="63"/>
      <c r="AV35" s="70"/>
    </row>
    <row r="36" spans="1:62" s="4" customFormat="1" hidden="1" x14ac:dyDescent="0.2">
      <c r="A36" s="64"/>
      <c r="B36" s="69" t="s">
        <v>76</v>
      </c>
      <c r="C36" s="69"/>
      <c r="D36" s="134">
        <f t="shared" ref="D36:AN36" si="84">SUM(D33:D35)</f>
        <v>0</v>
      </c>
      <c r="E36" s="135">
        <f t="shared" si="84"/>
        <v>0</v>
      </c>
      <c r="F36" s="69">
        <f t="shared" si="84"/>
        <v>0</v>
      </c>
      <c r="G36" s="136">
        <f t="shared" si="84"/>
        <v>0</v>
      </c>
      <c r="H36" s="135">
        <f t="shared" si="84"/>
        <v>0</v>
      </c>
      <c r="I36" s="69">
        <f t="shared" si="84"/>
        <v>0</v>
      </c>
      <c r="J36" s="136">
        <f t="shared" si="84"/>
        <v>0</v>
      </c>
      <c r="K36" s="135">
        <f t="shared" si="84"/>
        <v>0</v>
      </c>
      <c r="L36" s="69">
        <f t="shared" si="84"/>
        <v>0</v>
      </c>
      <c r="M36" s="136">
        <f t="shared" si="84"/>
        <v>0</v>
      </c>
      <c r="N36" s="135">
        <f t="shared" si="84"/>
        <v>0</v>
      </c>
      <c r="O36" s="69">
        <f t="shared" si="84"/>
        <v>0</v>
      </c>
      <c r="P36" s="136">
        <f t="shared" si="84"/>
        <v>0</v>
      </c>
      <c r="Q36" s="135">
        <f t="shared" si="84"/>
        <v>0</v>
      </c>
      <c r="R36" s="69">
        <f t="shared" si="84"/>
        <v>0</v>
      </c>
      <c r="S36" s="136">
        <f t="shared" si="84"/>
        <v>0</v>
      </c>
      <c r="T36" s="135">
        <f t="shared" si="84"/>
        <v>0</v>
      </c>
      <c r="U36" s="69">
        <f t="shared" si="84"/>
        <v>0</v>
      </c>
      <c r="V36" s="136">
        <f t="shared" si="84"/>
        <v>0</v>
      </c>
      <c r="W36" s="135">
        <f t="shared" si="84"/>
        <v>0</v>
      </c>
      <c r="X36" s="69">
        <f t="shared" si="84"/>
        <v>0</v>
      </c>
      <c r="Y36" s="136">
        <f t="shared" si="84"/>
        <v>0</v>
      </c>
      <c r="Z36" s="135">
        <f t="shared" si="84"/>
        <v>0</v>
      </c>
      <c r="AA36" s="69">
        <f t="shared" si="84"/>
        <v>0</v>
      </c>
      <c r="AB36" s="136">
        <f t="shared" si="84"/>
        <v>0</v>
      </c>
      <c r="AC36" s="135">
        <f t="shared" si="84"/>
        <v>0</v>
      </c>
      <c r="AD36" s="69">
        <f t="shared" si="84"/>
        <v>0</v>
      </c>
      <c r="AE36" s="136">
        <f t="shared" si="84"/>
        <v>0</v>
      </c>
      <c r="AF36" s="135">
        <f t="shared" si="84"/>
        <v>0</v>
      </c>
      <c r="AG36" s="69">
        <f t="shared" si="84"/>
        <v>0</v>
      </c>
      <c r="AH36" s="136">
        <f t="shared" si="84"/>
        <v>0</v>
      </c>
      <c r="AI36" s="135">
        <f t="shared" si="84"/>
        <v>0</v>
      </c>
      <c r="AJ36" s="69">
        <f>SUM(AJ33:AJ35)</f>
        <v>0</v>
      </c>
      <c r="AK36" s="136">
        <f t="shared" si="84"/>
        <v>0</v>
      </c>
      <c r="AL36" s="135">
        <f t="shared" si="84"/>
        <v>0</v>
      </c>
      <c r="AM36" s="69">
        <f t="shared" si="84"/>
        <v>0</v>
      </c>
      <c r="AN36" s="136">
        <f t="shared" si="84"/>
        <v>0</v>
      </c>
      <c r="AO36" s="134"/>
      <c r="AP36" s="69"/>
      <c r="AQ36" s="69"/>
      <c r="AR36" s="72"/>
      <c r="AS36" s="72"/>
      <c r="AT36" s="72"/>
      <c r="AU36" s="69"/>
      <c r="AV36" s="72"/>
    </row>
    <row r="37" spans="1:62" s="3" customFormat="1" hidden="1" x14ac:dyDescent="0.2">
      <c r="A37" s="64"/>
      <c r="B37" s="63" t="s">
        <v>77</v>
      </c>
      <c r="C37" s="63"/>
      <c r="D37" s="23"/>
      <c r="E37" s="137">
        <f>E15+E19+D37</f>
        <v>0</v>
      </c>
      <c r="F37" s="17"/>
      <c r="G37" s="130">
        <f t="shared" si="72"/>
        <v>0</v>
      </c>
      <c r="H37" s="137">
        <f>E37-H15-H19</f>
        <v>0</v>
      </c>
      <c r="I37" s="17"/>
      <c r="J37" s="130">
        <f t="shared" si="73"/>
        <v>0</v>
      </c>
      <c r="K37" s="137">
        <f>H37-K15-K19</f>
        <v>0</v>
      </c>
      <c r="L37" s="17"/>
      <c r="M37" s="130">
        <f t="shared" si="74"/>
        <v>0</v>
      </c>
      <c r="N37" s="137">
        <f>K37-N15-N19</f>
        <v>0</v>
      </c>
      <c r="O37" s="17"/>
      <c r="P37" s="130">
        <f t="shared" si="75"/>
        <v>0</v>
      </c>
      <c r="Q37" s="137">
        <f>N37-Q15-Q19</f>
        <v>0</v>
      </c>
      <c r="R37" s="17"/>
      <c r="S37" s="130">
        <f t="shared" si="76"/>
        <v>0</v>
      </c>
      <c r="T37" s="137">
        <f>Q37-T15-T19</f>
        <v>0</v>
      </c>
      <c r="U37" s="17"/>
      <c r="V37" s="130">
        <f t="shared" si="77"/>
        <v>0</v>
      </c>
      <c r="W37" s="137">
        <f>T37-W15-W19</f>
        <v>0</v>
      </c>
      <c r="X37" s="17"/>
      <c r="Y37" s="130">
        <f t="shared" si="78"/>
        <v>0</v>
      </c>
      <c r="Z37" s="137">
        <f>W37-Z15-Z19</f>
        <v>0</v>
      </c>
      <c r="AA37" s="17"/>
      <c r="AB37" s="130">
        <f t="shared" si="79"/>
        <v>0</v>
      </c>
      <c r="AC37" s="137">
        <f>Z37-AC15-AC19</f>
        <v>0</v>
      </c>
      <c r="AD37" s="17"/>
      <c r="AE37" s="130">
        <f t="shared" si="80"/>
        <v>0</v>
      </c>
      <c r="AF37" s="137">
        <f>AC37-AF15-AF19</f>
        <v>0</v>
      </c>
      <c r="AG37" s="17"/>
      <c r="AH37" s="130">
        <f t="shared" si="81"/>
        <v>0</v>
      </c>
      <c r="AI37" s="137">
        <f>AF37-AI15-AI19</f>
        <v>0</v>
      </c>
      <c r="AJ37" s="17"/>
      <c r="AK37" s="130">
        <f t="shared" si="82"/>
        <v>0</v>
      </c>
      <c r="AL37" s="137">
        <f>AI37-AL15-AL19</f>
        <v>0</v>
      </c>
      <c r="AM37" s="17"/>
      <c r="AN37" s="130">
        <f t="shared" si="83"/>
        <v>0</v>
      </c>
      <c r="AO37" s="134"/>
      <c r="AP37" s="63"/>
      <c r="AQ37" s="63"/>
      <c r="AR37" s="70"/>
      <c r="AS37" s="70"/>
      <c r="AT37" s="70"/>
      <c r="AU37" s="63"/>
      <c r="AV37" s="70"/>
    </row>
    <row r="38" spans="1:62" s="3" customFormat="1" hidden="1" x14ac:dyDescent="0.2">
      <c r="A38" s="64"/>
      <c r="B38" s="63" t="s">
        <v>106</v>
      </c>
      <c r="C38" s="63"/>
      <c r="D38" s="23"/>
      <c r="E38" s="25"/>
      <c r="F38" s="42"/>
      <c r="G38" s="138">
        <f t="shared" si="72"/>
        <v>0</v>
      </c>
      <c r="H38" s="43"/>
      <c r="I38" s="42"/>
      <c r="J38" s="138">
        <f t="shared" si="73"/>
        <v>0</v>
      </c>
      <c r="K38" s="43"/>
      <c r="L38" s="42"/>
      <c r="M38" s="138">
        <f t="shared" si="74"/>
        <v>0</v>
      </c>
      <c r="N38" s="43"/>
      <c r="O38" s="42"/>
      <c r="P38" s="138">
        <f t="shared" si="75"/>
        <v>0</v>
      </c>
      <c r="Q38" s="43"/>
      <c r="R38" s="42"/>
      <c r="S38" s="138">
        <f t="shared" si="76"/>
        <v>0</v>
      </c>
      <c r="T38" s="43"/>
      <c r="U38" s="42"/>
      <c r="V38" s="138">
        <f t="shared" si="77"/>
        <v>0</v>
      </c>
      <c r="W38" s="43"/>
      <c r="X38" s="42"/>
      <c r="Y38" s="138">
        <f t="shared" si="78"/>
        <v>0</v>
      </c>
      <c r="Z38" s="43"/>
      <c r="AA38" s="42"/>
      <c r="AB38" s="130">
        <f t="shared" si="79"/>
        <v>0</v>
      </c>
      <c r="AC38" s="25"/>
      <c r="AD38" s="42"/>
      <c r="AE38" s="130">
        <f t="shared" si="80"/>
        <v>0</v>
      </c>
      <c r="AF38" s="25"/>
      <c r="AG38" s="42"/>
      <c r="AH38" s="130">
        <f t="shared" si="81"/>
        <v>0</v>
      </c>
      <c r="AI38" s="25"/>
      <c r="AJ38" s="17"/>
      <c r="AK38" s="130">
        <f t="shared" si="82"/>
        <v>0</v>
      </c>
      <c r="AL38" s="25"/>
      <c r="AM38" s="17"/>
      <c r="AN38" s="130">
        <f t="shared" si="83"/>
        <v>0</v>
      </c>
      <c r="AO38" s="134"/>
      <c r="AP38" s="63"/>
      <c r="AQ38" s="63"/>
      <c r="AR38" s="70"/>
      <c r="AS38" s="70"/>
      <c r="AT38" s="70"/>
      <c r="AU38" s="63"/>
      <c r="AV38" s="70"/>
    </row>
    <row r="39" spans="1:62" s="3" customFormat="1" hidden="1" x14ac:dyDescent="0.2">
      <c r="A39" s="64"/>
      <c r="B39" s="63" t="s">
        <v>78</v>
      </c>
      <c r="C39" s="63"/>
      <c r="D39" s="17"/>
      <c r="E39" s="25"/>
      <c r="F39" s="17"/>
      <c r="G39" s="130">
        <f t="shared" si="72"/>
        <v>0</v>
      </c>
      <c r="H39" s="25"/>
      <c r="I39" s="17"/>
      <c r="J39" s="130">
        <f t="shared" si="73"/>
        <v>0</v>
      </c>
      <c r="K39" s="25"/>
      <c r="L39" s="17"/>
      <c r="M39" s="130">
        <f t="shared" si="74"/>
        <v>0</v>
      </c>
      <c r="N39" s="25"/>
      <c r="O39" s="17"/>
      <c r="P39" s="130">
        <f t="shared" si="75"/>
        <v>0</v>
      </c>
      <c r="Q39" s="25"/>
      <c r="R39" s="17"/>
      <c r="S39" s="130">
        <f t="shared" si="76"/>
        <v>0</v>
      </c>
      <c r="T39" s="25"/>
      <c r="U39" s="17"/>
      <c r="V39" s="130">
        <f t="shared" si="77"/>
        <v>0</v>
      </c>
      <c r="W39" s="25"/>
      <c r="X39" s="17"/>
      <c r="Y39" s="130">
        <f t="shared" si="78"/>
        <v>0</v>
      </c>
      <c r="Z39" s="25"/>
      <c r="AA39" s="17"/>
      <c r="AB39" s="130">
        <f t="shared" si="79"/>
        <v>0</v>
      </c>
      <c r="AC39" s="25"/>
      <c r="AD39" s="17"/>
      <c r="AE39" s="130">
        <f t="shared" si="80"/>
        <v>0</v>
      </c>
      <c r="AF39" s="25"/>
      <c r="AG39" s="17"/>
      <c r="AH39" s="130">
        <f t="shared" si="81"/>
        <v>0</v>
      </c>
      <c r="AI39" s="25"/>
      <c r="AJ39" s="17"/>
      <c r="AK39" s="130">
        <f t="shared" si="82"/>
        <v>0</v>
      </c>
      <c r="AL39" s="25"/>
      <c r="AM39" s="17"/>
      <c r="AN39" s="130">
        <f t="shared" si="83"/>
        <v>0</v>
      </c>
      <c r="AO39" s="134"/>
      <c r="AP39" s="63"/>
      <c r="AQ39" s="63"/>
      <c r="AR39" s="70"/>
      <c r="AS39" s="70"/>
      <c r="AT39" s="70"/>
      <c r="AU39" s="63"/>
      <c r="AV39" s="70"/>
      <c r="AW39" s="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</row>
    <row r="40" spans="1:62" s="3" customFormat="1" hidden="1" x14ac:dyDescent="0.2">
      <c r="A40" s="64"/>
      <c r="B40" s="70" t="s">
        <v>79</v>
      </c>
      <c r="C40" s="63"/>
      <c r="D40" s="17"/>
      <c r="E40" s="25"/>
      <c r="F40" s="17"/>
      <c r="G40" s="130">
        <f t="shared" si="72"/>
        <v>0</v>
      </c>
      <c r="H40" s="25">
        <f>SUM(H9:H13)*H30</f>
        <v>0</v>
      </c>
      <c r="I40" s="17"/>
      <c r="J40" s="130">
        <f t="shared" si="73"/>
        <v>0</v>
      </c>
      <c r="K40" s="25">
        <f>SUM(K9:K13)*K30</f>
        <v>0</v>
      </c>
      <c r="L40" s="17"/>
      <c r="M40" s="130">
        <f t="shared" si="74"/>
        <v>0</v>
      </c>
      <c r="N40" s="25"/>
      <c r="O40" s="17"/>
      <c r="P40" s="130">
        <f t="shared" si="75"/>
        <v>0</v>
      </c>
      <c r="Q40" s="25"/>
      <c r="R40" s="17"/>
      <c r="S40" s="130">
        <f t="shared" si="76"/>
        <v>0</v>
      </c>
      <c r="T40" s="25"/>
      <c r="U40" s="17"/>
      <c r="V40" s="130">
        <f t="shared" si="77"/>
        <v>0</v>
      </c>
      <c r="W40" s="25"/>
      <c r="X40" s="17"/>
      <c r="Y40" s="130">
        <f t="shared" si="78"/>
        <v>0</v>
      </c>
      <c r="Z40" s="25"/>
      <c r="AA40" s="17"/>
      <c r="AB40" s="130">
        <f t="shared" si="79"/>
        <v>0</v>
      </c>
      <c r="AC40" s="25"/>
      <c r="AD40" s="17"/>
      <c r="AE40" s="130">
        <f t="shared" si="80"/>
        <v>0</v>
      </c>
      <c r="AF40" s="25"/>
      <c r="AG40" s="17"/>
      <c r="AH40" s="130">
        <f t="shared" si="81"/>
        <v>0</v>
      </c>
      <c r="AI40" s="25">
        <f>SUM(AI9:AI13)*AI30</f>
        <v>0</v>
      </c>
      <c r="AJ40" s="17"/>
      <c r="AK40" s="130">
        <f t="shared" si="82"/>
        <v>0</v>
      </c>
      <c r="AL40" s="25">
        <f>SUM(AL9:AL13)*AL30</f>
        <v>0</v>
      </c>
      <c r="AM40" s="17"/>
      <c r="AN40" s="130">
        <f t="shared" si="83"/>
        <v>0</v>
      </c>
      <c r="AO40" s="134"/>
      <c r="AP40" s="63"/>
      <c r="AQ40" s="63"/>
      <c r="AR40" s="70"/>
      <c r="AS40" s="70"/>
      <c r="AT40" s="70"/>
      <c r="AU40" s="63"/>
      <c r="AV40" s="70"/>
      <c r="AW40" s="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</row>
    <row r="41" spans="1:62" s="3" customFormat="1" hidden="1" x14ac:dyDescent="0.2">
      <c r="A41" s="64"/>
      <c r="B41" s="70" t="s">
        <v>80</v>
      </c>
      <c r="C41" s="63"/>
      <c r="D41" s="23"/>
      <c r="E41" s="25"/>
      <c r="F41" s="17"/>
      <c r="G41" s="130">
        <f t="shared" si="72"/>
        <v>0</v>
      </c>
      <c r="H41" s="25">
        <f>H48</f>
        <v>0</v>
      </c>
      <c r="I41" s="17"/>
      <c r="J41" s="130">
        <f t="shared" si="73"/>
        <v>0</v>
      </c>
      <c r="K41" s="25">
        <f>K48</f>
        <v>0</v>
      </c>
      <c r="L41" s="17"/>
      <c r="M41" s="130">
        <f t="shared" si="74"/>
        <v>0</v>
      </c>
      <c r="N41" s="25"/>
      <c r="O41" s="17"/>
      <c r="P41" s="130">
        <f t="shared" si="75"/>
        <v>0</v>
      </c>
      <c r="Q41" s="25"/>
      <c r="R41" s="17"/>
      <c r="S41" s="130">
        <f t="shared" si="76"/>
        <v>0</v>
      </c>
      <c r="T41" s="25"/>
      <c r="U41" s="17"/>
      <c r="V41" s="130">
        <f t="shared" si="77"/>
        <v>0</v>
      </c>
      <c r="W41" s="25"/>
      <c r="X41" s="17"/>
      <c r="Y41" s="130">
        <f t="shared" si="78"/>
        <v>0</v>
      </c>
      <c r="Z41" s="25"/>
      <c r="AA41" s="17"/>
      <c r="AB41" s="130">
        <f t="shared" si="79"/>
        <v>0</v>
      </c>
      <c r="AC41" s="25"/>
      <c r="AD41" s="17"/>
      <c r="AE41" s="130">
        <f t="shared" si="80"/>
        <v>0</v>
      </c>
      <c r="AF41" s="25"/>
      <c r="AG41" s="17"/>
      <c r="AH41" s="130">
        <f t="shared" si="81"/>
        <v>0</v>
      </c>
      <c r="AI41" s="25">
        <f>AI48</f>
        <v>0</v>
      </c>
      <c r="AJ41" s="17"/>
      <c r="AK41" s="130">
        <f t="shared" si="82"/>
        <v>0</v>
      </c>
      <c r="AL41" s="25">
        <f>AL48</f>
        <v>0</v>
      </c>
      <c r="AM41" s="17"/>
      <c r="AN41" s="130">
        <f t="shared" si="83"/>
        <v>0</v>
      </c>
      <c r="AO41" s="134"/>
      <c r="AP41" s="63"/>
      <c r="AQ41" s="63"/>
      <c r="AR41" s="70"/>
      <c r="AS41" s="70"/>
      <c r="AT41" s="70"/>
      <c r="AU41" s="63"/>
      <c r="AV41" s="70"/>
      <c r="AW41" s="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</row>
    <row r="42" spans="1:62" s="3" customFormat="1" hidden="1" x14ac:dyDescent="0.2">
      <c r="A42" s="64"/>
      <c r="B42" s="70" t="s">
        <v>81</v>
      </c>
      <c r="C42" s="63"/>
      <c r="D42" s="23"/>
      <c r="E42" s="25"/>
      <c r="F42" s="17"/>
      <c r="G42" s="130">
        <f t="shared" si="72"/>
        <v>0</v>
      </c>
      <c r="H42" s="25"/>
      <c r="I42" s="17"/>
      <c r="J42" s="130">
        <f t="shared" si="73"/>
        <v>0</v>
      </c>
      <c r="K42" s="25"/>
      <c r="L42" s="17"/>
      <c r="M42" s="130">
        <f t="shared" si="74"/>
        <v>0</v>
      </c>
      <c r="N42" s="25"/>
      <c r="O42" s="17"/>
      <c r="P42" s="130">
        <f t="shared" si="75"/>
        <v>0</v>
      </c>
      <c r="Q42" s="25"/>
      <c r="R42" s="17"/>
      <c r="S42" s="130">
        <f t="shared" si="76"/>
        <v>0</v>
      </c>
      <c r="T42" s="25"/>
      <c r="U42" s="17"/>
      <c r="V42" s="130">
        <f t="shared" si="77"/>
        <v>0</v>
      </c>
      <c r="W42" s="25"/>
      <c r="X42" s="17"/>
      <c r="Y42" s="130">
        <f t="shared" si="78"/>
        <v>0</v>
      </c>
      <c r="Z42" s="25"/>
      <c r="AA42" s="17"/>
      <c r="AB42" s="130">
        <f t="shared" si="79"/>
        <v>0</v>
      </c>
      <c r="AC42" s="25"/>
      <c r="AD42" s="17"/>
      <c r="AE42" s="130">
        <f t="shared" si="80"/>
        <v>0</v>
      </c>
      <c r="AF42" s="25"/>
      <c r="AG42" s="17"/>
      <c r="AH42" s="130">
        <f t="shared" si="81"/>
        <v>0</v>
      </c>
      <c r="AI42" s="25"/>
      <c r="AJ42" s="17"/>
      <c r="AK42" s="130">
        <f t="shared" si="82"/>
        <v>0</v>
      </c>
      <c r="AL42" s="25"/>
      <c r="AM42" s="17"/>
      <c r="AN42" s="130">
        <f t="shared" si="83"/>
        <v>0</v>
      </c>
      <c r="AO42" s="134"/>
      <c r="AP42" s="63"/>
      <c r="AQ42" s="63"/>
      <c r="AR42" s="70"/>
      <c r="AS42" s="70"/>
      <c r="AT42" s="70"/>
      <c r="AU42" s="63"/>
      <c r="AV42" s="70"/>
      <c r="AW42" s="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</row>
    <row r="43" spans="1:62" s="4" customFormat="1" hidden="1" x14ac:dyDescent="0.2">
      <c r="A43" s="71"/>
      <c r="B43" s="72" t="s">
        <v>82</v>
      </c>
      <c r="C43" s="69"/>
      <c r="D43" s="139">
        <f>SUM(D37:D42)</f>
        <v>0</v>
      </c>
      <c r="E43" s="140">
        <f>SUM(E37:E42)-E38</f>
        <v>0</v>
      </c>
      <c r="F43" s="141">
        <f>SUM(F37:F42)-F38</f>
        <v>0</v>
      </c>
      <c r="G43" s="139">
        <f t="shared" si="72"/>
        <v>0</v>
      </c>
      <c r="H43" s="140">
        <f>SUM(H37:H42)-H38</f>
        <v>0</v>
      </c>
      <c r="I43" s="141">
        <f>SUM(I37:I42)-I38</f>
        <v>0</v>
      </c>
      <c r="J43" s="139"/>
      <c r="K43" s="140">
        <f>SUM(K37:K42)-K38</f>
        <v>0</v>
      </c>
      <c r="L43" s="141">
        <f>SUM(L37:L42)-L38</f>
        <v>0</v>
      </c>
      <c r="M43" s="139"/>
      <c r="N43" s="140">
        <f>SUM(N37:N42)-N38</f>
        <v>0</v>
      </c>
      <c r="O43" s="141">
        <f>SUM(O37:O42)-O38</f>
        <v>0</v>
      </c>
      <c r="P43" s="139"/>
      <c r="Q43" s="140">
        <f>SUM(Q37:Q42)-Q38</f>
        <v>0</v>
      </c>
      <c r="R43" s="141">
        <f>SUM(R37:R42)-R38</f>
        <v>0</v>
      </c>
      <c r="S43" s="139"/>
      <c r="T43" s="140">
        <f>SUM(T37:T42)-T38</f>
        <v>0</v>
      </c>
      <c r="U43" s="141">
        <f>SUM(U37:U42)-U38</f>
        <v>0</v>
      </c>
      <c r="V43" s="139"/>
      <c r="W43" s="140">
        <f>SUM(W37:W42)-W38</f>
        <v>0</v>
      </c>
      <c r="X43" s="141">
        <f>SUM(X37:X42)-X38</f>
        <v>0</v>
      </c>
      <c r="Y43" s="139"/>
      <c r="Z43" s="140">
        <f>SUM(Z37:Z42)-Z38</f>
        <v>0</v>
      </c>
      <c r="AA43" s="141">
        <f>SUM(AA37:AA42)-AA38</f>
        <v>0</v>
      </c>
      <c r="AB43" s="139"/>
      <c r="AC43" s="140">
        <f>SUM(AC37:AC42)-AC38</f>
        <v>0</v>
      </c>
      <c r="AD43" s="141">
        <f>SUM(AD37:AD42)-AD38</f>
        <v>0</v>
      </c>
      <c r="AE43" s="139"/>
      <c r="AF43" s="140">
        <f>SUM(AF37:AF42)-AF38</f>
        <v>0</v>
      </c>
      <c r="AG43" s="141">
        <f>SUM(AG37:AG42)-AG38</f>
        <v>0</v>
      </c>
      <c r="AH43" s="139"/>
      <c r="AI43" s="140">
        <f>SUM(AI37:AI42)-AI38</f>
        <v>0</v>
      </c>
      <c r="AJ43" s="141">
        <f>SUM(AJ37:AJ42)-AJ38</f>
        <v>0</v>
      </c>
      <c r="AK43" s="139"/>
      <c r="AL43" s="140">
        <f>SUM(AL37:AL42)-AL38</f>
        <v>0</v>
      </c>
      <c r="AM43" s="141">
        <f>SUM(AM37:AM42)-AM38</f>
        <v>0</v>
      </c>
      <c r="AN43" s="139">
        <f>SUM(AN40:AN42)</f>
        <v>0</v>
      </c>
      <c r="AO43" s="134"/>
      <c r="AP43" s="69"/>
      <c r="AQ43" s="69"/>
      <c r="AR43" s="72"/>
      <c r="AS43" s="72"/>
      <c r="AT43" s="72"/>
      <c r="AU43" s="69"/>
      <c r="AV43" s="72"/>
      <c r="AW43" s="2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</row>
    <row r="44" spans="1:62" hidden="1" x14ac:dyDescent="0.2">
      <c r="B44" s="64" t="s">
        <v>4</v>
      </c>
      <c r="F44" s="142">
        <f>(F36+F43)*-1</f>
        <v>0</v>
      </c>
      <c r="G44" s="142"/>
      <c r="H44" s="142"/>
      <c r="I44" s="142">
        <f>(I36+I43)*-1</f>
        <v>0</v>
      </c>
      <c r="J44" s="142"/>
      <c r="K44" s="142"/>
      <c r="L44" s="142">
        <f>(L36+L43)*-1</f>
        <v>0</v>
      </c>
      <c r="M44" s="142"/>
      <c r="N44" s="142"/>
      <c r="O44" s="142">
        <f>(O36+O43)*-1</f>
        <v>0</v>
      </c>
      <c r="P44" s="142"/>
      <c r="Q44" s="142"/>
      <c r="R44" s="142">
        <f>(R36+R43)*-1</f>
        <v>0</v>
      </c>
      <c r="S44" s="142"/>
      <c r="T44" s="142"/>
      <c r="U44" s="142">
        <f>(U36+U43)*-1</f>
        <v>0</v>
      </c>
      <c r="V44" s="142"/>
      <c r="W44" s="142"/>
      <c r="X44" s="142">
        <f>(X36+X43)*-1</f>
        <v>0</v>
      </c>
      <c r="Y44" s="142"/>
      <c r="Z44" s="142"/>
      <c r="AA44" s="142">
        <f>(AA36+AA43)*-1</f>
        <v>0</v>
      </c>
      <c r="AB44" s="142"/>
      <c r="AC44" s="142"/>
      <c r="AD44" s="142">
        <f>(AD36+AD43)*-1</f>
        <v>0</v>
      </c>
      <c r="AE44" s="142"/>
      <c r="AF44" s="142"/>
      <c r="AG44" s="142">
        <f>(AG36+AG43)*-1</f>
        <v>0</v>
      </c>
      <c r="AH44" s="142"/>
      <c r="AI44" s="142"/>
      <c r="AJ44" s="142">
        <f>(AJ36+AJ43)*-1</f>
        <v>0</v>
      </c>
      <c r="AK44" s="142"/>
      <c r="AL44" s="142"/>
      <c r="AM44" s="142">
        <f>(AM36+AM43)*-1</f>
        <v>0</v>
      </c>
    </row>
    <row r="45" spans="1:62" hidden="1" x14ac:dyDescent="0.2">
      <c r="B45" s="71" t="s">
        <v>68</v>
      </c>
      <c r="C45" s="63" t="s">
        <v>51</v>
      </c>
      <c r="E45" s="143">
        <f>SUMIF($D4:$D25,"Moms",E4:E25)</f>
        <v>0</v>
      </c>
      <c r="H45" s="143">
        <f>SUMIF($D4:$D25,"Moms",H4:H25)</f>
        <v>0</v>
      </c>
      <c r="K45" s="143">
        <f>SUMIF($D4:$D25,"Moms",K4:K25)</f>
        <v>0</v>
      </c>
      <c r="N45" s="143">
        <f>SUMIF($D4:$D25,"Moms",N4:N25)</f>
        <v>0</v>
      </c>
      <c r="Q45" s="143">
        <f>SUMIF($D4:$D25,"Moms",Q4:Q25)</f>
        <v>0</v>
      </c>
      <c r="T45" s="143">
        <f>SUMIF($D4:$D25,"Moms",T4:T25)</f>
        <v>0</v>
      </c>
      <c r="W45" s="143">
        <f>SUMIF($D4:$D25,"Moms",W4:W25)</f>
        <v>0</v>
      </c>
      <c r="Z45" s="143">
        <f>SUMIF($D4:$D25,"Moms",Z4:Z25)</f>
        <v>0</v>
      </c>
      <c r="AC45" s="143">
        <f>SUMIF($D4:$D25,"Moms",AC4:AC25)</f>
        <v>0</v>
      </c>
      <c r="AF45" s="143">
        <f>SUMIF($D4:$D25,"Moms",AF4:AF25)</f>
        <v>0</v>
      </c>
      <c r="AI45" s="143">
        <f>SUMIF($D4:$D25,"Moms",AI4:AI25)</f>
        <v>0</v>
      </c>
      <c r="AL45" s="143">
        <f>SUMIF($D4:$D25,"Moms",AL4:AL25)</f>
        <v>0</v>
      </c>
    </row>
    <row r="46" spans="1:62" hidden="1" x14ac:dyDescent="0.2">
      <c r="C46" s="63" t="s">
        <v>52</v>
      </c>
      <c r="E46" s="63">
        <f>E45*0.25</f>
        <v>0</v>
      </c>
      <c r="H46" s="63">
        <f>H45*0.25</f>
        <v>0</v>
      </c>
      <c r="K46" s="63">
        <f>K45*0.25</f>
        <v>0</v>
      </c>
      <c r="N46" s="63">
        <f>N45*0.25</f>
        <v>0</v>
      </c>
      <c r="Q46" s="63">
        <f>Q45*0.25</f>
        <v>0</v>
      </c>
      <c r="T46" s="63">
        <f>T45*0.25</f>
        <v>0</v>
      </c>
      <c r="W46" s="63">
        <f>W45*0.25</f>
        <v>0</v>
      </c>
      <c r="Z46" s="63">
        <f>Z45*0.25</f>
        <v>0</v>
      </c>
      <c r="AC46" s="63">
        <f>AC45*0.25</f>
        <v>0</v>
      </c>
      <c r="AF46" s="63">
        <f>AF45*0.25</f>
        <v>0</v>
      </c>
      <c r="AI46" s="63">
        <f>AI45*0.25</f>
        <v>0</v>
      </c>
      <c r="AL46" s="63">
        <f>AL45*0.25</f>
        <v>0</v>
      </c>
      <c r="AO46" s="69" t="s">
        <v>53</v>
      </c>
    </row>
    <row r="47" spans="1:62" hidden="1" x14ac:dyDescent="0.2">
      <c r="C47" s="63" t="s">
        <v>63</v>
      </c>
      <c r="J47" s="144" t="s">
        <v>58</v>
      </c>
      <c r="K47" s="145">
        <f>D48</f>
        <v>0</v>
      </c>
      <c r="S47" s="144" t="s">
        <v>57</v>
      </c>
      <c r="T47" s="145">
        <f>SUM(E46:K46)*-1</f>
        <v>0</v>
      </c>
      <c r="AB47" s="144" t="s">
        <v>54</v>
      </c>
      <c r="AC47" s="145">
        <f>SUM(N46:T46)*-1</f>
        <v>0</v>
      </c>
      <c r="AK47" s="144" t="s">
        <v>55</v>
      </c>
      <c r="AL47" s="145">
        <f>SUM(W46:AC46)*-1</f>
        <v>0</v>
      </c>
      <c r="AN47" s="63" t="s">
        <v>56</v>
      </c>
      <c r="AO47" s="145">
        <f>SUM(AF46:AL46)*-1</f>
        <v>0</v>
      </c>
    </row>
    <row r="48" spans="1:62" hidden="1" x14ac:dyDescent="0.2">
      <c r="C48" s="63" t="s">
        <v>62</v>
      </c>
      <c r="D48" s="63">
        <f>D41</f>
        <v>0</v>
      </c>
      <c r="E48" s="63">
        <f>D48-E46</f>
        <v>0</v>
      </c>
      <c r="H48" s="63">
        <f>E48-H46</f>
        <v>0</v>
      </c>
      <c r="K48" s="63">
        <f>H48-K46-K47</f>
        <v>0</v>
      </c>
      <c r="N48" s="63">
        <f>K48-N46-N47</f>
        <v>0</v>
      </c>
      <c r="Q48" s="63">
        <f>N48-Q46-Q47</f>
        <v>0</v>
      </c>
      <c r="T48" s="63">
        <f>Q48-T46-T47</f>
        <v>0</v>
      </c>
      <c r="W48" s="63">
        <f>T48-W46-W47</f>
        <v>0</v>
      </c>
      <c r="Z48" s="63">
        <f>W48-Z46-Z47</f>
        <v>0</v>
      </c>
      <c r="AC48" s="63">
        <f>Z48-AC46-AC47</f>
        <v>0</v>
      </c>
      <c r="AD48" s="144"/>
      <c r="AE48" s="144"/>
      <c r="AF48" s="63">
        <f>AC48-AF46-AF47</f>
        <v>0</v>
      </c>
      <c r="AG48" s="144"/>
      <c r="AH48" s="144"/>
      <c r="AI48" s="63">
        <f>AF48-AI46-AI47</f>
        <v>0</v>
      </c>
      <c r="AJ48" s="144"/>
      <c r="AK48" s="144"/>
      <c r="AL48" s="63">
        <f>AI48-AL46-AL47</f>
        <v>0</v>
      </c>
      <c r="AM48" s="144"/>
      <c r="AN48" s="144"/>
      <c r="AO48" s="63"/>
    </row>
    <row r="49" spans="1:84" hidden="1" x14ac:dyDescent="0.2">
      <c r="AO49" s="63"/>
    </row>
    <row r="50" spans="1:84" hidden="1" x14ac:dyDescent="0.2">
      <c r="D50" s="70" t="s">
        <v>24</v>
      </c>
      <c r="E50" s="146">
        <v>1</v>
      </c>
      <c r="F50" s="146"/>
      <c r="G50" s="146"/>
      <c r="H50" s="146">
        <v>2</v>
      </c>
      <c r="I50" s="146"/>
      <c r="J50" s="146"/>
      <c r="K50" s="146">
        <v>3</v>
      </c>
      <c r="L50" s="146"/>
      <c r="M50" s="146"/>
      <c r="N50" s="146">
        <v>4</v>
      </c>
      <c r="O50" s="146"/>
      <c r="P50" s="146"/>
      <c r="Q50" s="146">
        <v>5</v>
      </c>
      <c r="R50" s="146"/>
      <c r="S50" s="146"/>
      <c r="T50" s="146">
        <v>6</v>
      </c>
      <c r="U50" s="146"/>
      <c r="V50" s="146"/>
      <c r="W50" s="146">
        <v>7</v>
      </c>
      <c r="X50" s="146"/>
      <c r="Y50" s="146"/>
      <c r="Z50" s="146">
        <v>8</v>
      </c>
      <c r="AA50" s="146"/>
      <c r="AB50" s="146"/>
      <c r="AC50" s="146">
        <v>9</v>
      </c>
      <c r="AD50" s="146"/>
      <c r="AE50" s="146"/>
      <c r="AF50" s="146">
        <v>10</v>
      </c>
      <c r="AG50" s="146"/>
      <c r="AH50" s="146"/>
      <c r="AI50" s="146">
        <v>11</v>
      </c>
      <c r="AJ50" s="146"/>
      <c r="AK50" s="146"/>
      <c r="AL50" s="146">
        <v>12</v>
      </c>
    </row>
    <row r="51" spans="1:84" hidden="1" x14ac:dyDescent="0.2">
      <c r="B51" s="71" t="s">
        <v>69</v>
      </c>
      <c r="C51" s="63" t="s">
        <v>72</v>
      </c>
      <c r="D51" s="147">
        <f>D35</f>
        <v>0</v>
      </c>
      <c r="E51" s="63">
        <f>SUM(F35)</f>
        <v>0</v>
      </c>
      <c r="H51" s="63">
        <f>SUM(I35)</f>
        <v>0</v>
      </c>
      <c r="K51" s="63">
        <f>SUM(L35)</f>
        <v>0</v>
      </c>
      <c r="N51" s="63">
        <f>SUM(O35)</f>
        <v>0</v>
      </c>
      <c r="Q51" s="63">
        <f>SUM(R35)</f>
        <v>0</v>
      </c>
      <c r="T51" s="63">
        <f>SUM(U35)</f>
        <v>0</v>
      </c>
      <c r="W51" s="63">
        <f>SUM(X35)</f>
        <v>0</v>
      </c>
      <c r="Z51" s="63">
        <f>SUM(AA35)</f>
        <v>0</v>
      </c>
      <c r="AC51" s="63">
        <f>SUM(AD35)</f>
        <v>0</v>
      </c>
      <c r="AF51" s="63">
        <f>SUM(AG35)</f>
        <v>0</v>
      </c>
      <c r="AI51" s="63">
        <f>SUM(AJ35)</f>
        <v>0</v>
      </c>
      <c r="AL51" s="63">
        <f>SUM(AM35)</f>
        <v>0</v>
      </c>
    </row>
    <row r="52" spans="1:84" hidden="1" x14ac:dyDescent="0.2">
      <c r="C52" s="70" t="s">
        <v>64</v>
      </c>
      <c r="D52" s="147">
        <f>D51</f>
        <v>0</v>
      </c>
      <c r="E52" s="70">
        <f>D52+E25</f>
        <v>0</v>
      </c>
      <c r="F52" s="70"/>
      <c r="G52" s="70"/>
      <c r="H52" s="70">
        <f>E52+H25</f>
        <v>0</v>
      </c>
      <c r="I52" s="70"/>
      <c r="J52" s="70"/>
      <c r="K52" s="70">
        <f>H52+K25</f>
        <v>0</v>
      </c>
      <c r="L52" s="70"/>
      <c r="M52" s="70"/>
      <c r="N52" s="70">
        <f>K52+N25</f>
        <v>0</v>
      </c>
      <c r="O52" s="70"/>
      <c r="P52" s="70"/>
      <c r="Q52" s="70">
        <f>N52+Q25</f>
        <v>0</v>
      </c>
      <c r="R52" s="70"/>
      <c r="S52" s="70"/>
      <c r="T52" s="70">
        <f>Q52+T25</f>
        <v>0</v>
      </c>
      <c r="U52" s="70"/>
      <c r="V52" s="70"/>
      <c r="W52" s="70">
        <f>T52+W25</f>
        <v>0</v>
      </c>
      <c r="X52" s="70"/>
      <c r="Y52" s="70"/>
      <c r="Z52" s="70">
        <f>W52+Z25</f>
        <v>0</v>
      </c>
      <c r="AA52" s="70"/>
      <c r="AB52" s="70"/>
      <c r="AC52" s="70">
        <f>Z52+AC25</f>
        <v>0</v>
      </c>
      <c r="AD52" s="70"/>
      <c r="AE52" s="70"/>
      <c r="AF52" s="70">
        <f>AC52+AF25</f>
        <v>0</v>
      </c>
      <c r="AG52" s="70"/>
      <c r="AH52" s="70"/>
      <c r="AI52" s="70">
        <f>AF52+AI25</f>
        <v>0</v>
      </c>
      <c r="AJ52" s="70"/>
      <c r="AK52" s="70"/>
      <c r="AL52" s="70">
        <f>AI52+AL25</f>
        <v>0</v>
      </c>
    </row>
    <row r="53" spans="1:84" hidden="1" x14ac:dyDescent="0.2">
      <c r="C53" s="70" t="s">
        <v>65</v>
      </c>
      <c r="D53" s="147">
        <f>D52</f>
        <v>0</v>
      </c>
      <c r="E53" s="70">
        <f>IF(RealMaaned&gt;=E50,E51,D53+E25)</f>
        <v>0</v>
      </c>
      <c r="F53" s="70"/>
      <c r="G53" s="70"/>
      <c r="H53" s="70">
        <f>IF(RealMaaned&gt;=H50,H51,E53+H25)</f>
        <v>0</v>
      </c>
      <c r="I53" s="70"/>
      <c r="J53" s="70"/>
      <c r="K53" s="70">
        <f>IF(RealMaaned&gt;=K50,K51,H53+K25)</f>
        <v>0</v>
      </c>
      <c r="L53" s="70"/>
      <c r="M53" s="70"/>
      <c r="N53" s="70">
        <f>IF(RealMaaned&gt;=N50,N51,K53+N25)</f>
        <v>0</v>
      </c>
      <c r="O53" s="70"/>
      <c r="P53" s="70"/>
      <c r="Q53" s="70">
        <f>IF(RealMaaned&gt;=Q50,Q51,N53+Q25)</f>
        <v>0</v>
      </c>
      <c r="R53" s="70"/>
      <c r="S53" s="70"/>
      <c r="T53" s="70">
        <f>IF(RealMaaned&gt;=T50,T51,Q53+T25)</f>
        <v>0</v>
      </c>
      <c r="U53" s="70"/>
      <c r="V53" s="70"/>
      <c r="W53" s="70">
        <f>IF(RealMaaned&gt;=W50,W51,T53+W25)</f>
        <v>0</v>
      </c>
      <c r="X53" s="70"/>
      <c r="Y53" s="70"/>
      <c r="Z53" s="70">
        <f>IF(RealMaaned&gt;=Z50,Z51,W53+Z25)</f>
        <v>0</v>
      </c>
      <c r="AA53" s="70"/>
      <c r="AB53" s="70"/>
      <c r="AC53" s="70">
        <f>IF(RealMaaned&gt;=AC50,AC51,Z53+AC25)</f>
        <v>0</v>
      </c>
      <c r="AD53" s="70"/>
      <c r="AE53" s="70"/>
      <c r="AF53" s="70">
        <f>IF(RealMaaned&gt;=AF50,AF51,AC53+AF25)</f>
        <v>0</v>
      </c>
      <c r="AG53" s="70"/>
      <c r="AH53" s="70"/>
      <c r="AI53" s="70">
        <f>IF(RealMaaned&gt;=AI50,AI51,AF53+AI25)</f>
        <v>0</v>
      </c>
      <c r="AJ53" s="70"/>
      <c r="AK53" s="70"/>
      <c r="AL53" s="70">
        <f>IF(RealMaaned&gt;=AL50,AL51,AI53+AL25)</f>
        <v>0</v>
      </c>
    </row>
    <row r="55" spans="1:84" s="4" customFormat="1" x14ac:dyDescent="0.2">
      <c r="A55" s="72"/>
      <c r="B55" s="103"/>
      <c r="C55" s="104" t="s">
        <v>112</v>
      </c>
      <c r="D55" s="104"/>
      <c r="E55" s="105"/>
      <c r="F55" s="104"/>
      <c r="G55" s="106"/>
      <c r="H55" s="105"/>
      <c r="I55" s="104"/>
      <c r="J55" s="106"/>
      <c r="K55" s="105"/>
      <c r="L55" s="104"/>
      <c r="M55" s="106"/>
      <c r="N55" s="105"/>
      <c r="O55" s="104"/>
      <c r="P55" s="106"/>
      <c r="Q55" s="105"/>
      <c r="R55" s="104"/>
      <c r="S55" s="106"/>
      <c r="T55" s="105"/>
      <c r="U55" s="104"/>
      <c r="V55" s="106"/>
      <c r="W55" s="105"/>
      <c r="X55" s="104"/>
      <c r="Y55" s="106"/>
      <c r="Z55" s="105"/>
      <c r="AA55" s="104"/>
      <c r="AB55" s="106"/>
      <c r="AC55" s="105"/>
      <c r="AD55" s="104"/>
      <c r="AE55" s="106"/>
      <c r="AF55" s="105"/>
      <c r="AG55" s="104"/>
      <c r="AH55" s="106"/>
      <c r="AI55" s="105"/>
      <c r="AJ55" s="104"/>
      <c r="AK55" s="106"/>
      <c r="AL55" s="105"/>
      <c r="AM55" s="104"/>
      <c r="AN55" s="106"/>
      <c r="AO55" s="107"/>
      <c r="AP55" s="108"/>
      <c r="AQ55" s="105"/>
      <c r="AR55" s="105"/>
      <c r="AS55" s="104"/>
      <c r="AT55" s="109"/>
      <c r="AU55" s="110"/>
      <c r="AV55" s="109"/>
      <c r="AW55" s="7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</row>
  </sheetData>
  <sheetProtection algorithmName="SHA-512" hashValue="5pZJ2zIpIhvw2VvUp8B0EeAL40l3Iv73STF69ENNFQBxSvgoADtyJ67CK21LM4LtGnHY9mVoWCNdK5C68EX1WA==" saltValue="O6uWHj2044hkS9lUVYhN4g==" spinCount="100000" sheet="1" objects="1" scenarios="1"/>
  <mergeCells count="27">
    <mergeCell ref="BI2:BT2"/>
    <mergeCell ref="BU2:CF2"/>
    <mergeCell ref="AW2:BH2"/>
    <mergeCell ref="AL2:AN2"/>
    <mergeCell ref="T2:V2"/>
    <mergeCell ref="W2:Y2"/>
    <mergeCell ref="Z2:AB2"/>
    <mergeCell ref="AC2:AE2"/>
    <mergeCell ref="AF2:AH2"/>
    <mergeCell ref="AI2:AK2"/>
    <mergeCell ref="E2:G2"/>
    <mergeCell ref="H2:J2"/>
    <mergeCell ref="K2:M2"/>
    <mergeCell ref="N2:P2"/>
    <mergeCell ref="Q2:S2"/>
    <mergeCell ref="E31:G31"/>
    <mergeCell ref="H31:J31"/>
    <mergeCell ref="K31:M31"/>
    <mergeCell ref="N31:P31"/>
    <mergeCell ref="Q31:S31"/>
    <mergeCell ref="AI31:AK31"/>
    <mergeCell ref="AL31:AN31"/>
    <mergeCell ref="T31:V31"/>
    <mergeCell ref="W31:Y31"/>
    <mergeCell ref="Z31:AB31"/>
    <mergeCell ref="AC31:AE31"/>
    <mergeCell ref="AF31:AH31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3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CP53"/>
  <sheetViews>
    <sheetView tabSelected="1" zoomScaleNormal="100" workbookViewId="0">
      <pane xSplit="3" ySplit="1" topLeftCell="Z2" activePane="bottomRight" state="frozen"/>
      <selection pane="topRight" activeCell="D1" sqref="D1"/>
      <selection pane="bottomLeft" activeCell="A2" sqref="A2"/>
      <selection pane="bottomRight" activeCell="AF4" sqref="AF4"/>
    </sheetView>
  </sheetViews>
  <sheetFormatPr baseColWidth="10" defaultColWidth="8.83203125" defaultRowHeight="15" x14ac:dyDescent="0.2"/>
  <cols>
    <col min="1" max="1" width="2.33203125" style="63" customWidth="1"/>
    <col min="2" max="2" width="5.5" style="64" customWidth="1"/>
    <col min="3" max="3" width="45.33203125" style="63" customWidth="1"/>
    <col min="4" max="5" width="9.83203125" style="63" customWidth="1"/>
    <col min="6" max="6" width="9.83203125" style="63" hidden="1" customWidth="1"/>
    <col min="7" max="7" width="8.83203125" style="63" hidden="1" customWidth="1"/>
    <col min="8" max="8" width="9.83203125" style="63" customWidth="1"/>
    <col min="9" max="9" width="9.83203125" style="63" hidden="1" customWidth="1"/>
    <col min="10" max="10" width="8.83203125" style="63" hidden="1" customWidth="1"/>
    <col min="11" max="11" width="9.83203125" style="63" customWidth="1"/>
    <col min="12" max="13" width="8.83203125" style="63" hidden="1" customWidth="1"/>
    <col min="14" max="14" width="9.83203125" style="63" customWidth="1"/>
    <col min="15" max="16" width="8.83203125" style="63" hidden="1" customWidth="1"/>
    <col min="17" max="17" width="9.83203125" style="63" customWidth="1"/>
    <col min="18" max="19" width="8.83203125" style="63" hidden="1" customWidth="1"/>
    <col min="20" max="20" width="9.83203125" style="63" customWidth="1"/>
    <col min="21" max="22" width="8.83203125" style="63" hidden="1" customWidth="1"/>
    <col min="23" max="23" width="9.83203125" style="63" customWidth="1"/>
    <col min="24" max="25" width="8.83203125" style="63" hidden="1" customWidth="1"/>
    <col min="26" max="26" width="9.83203125" style="63" customWidth="1"/>
    <col min="27" max="28" width="8.83203125" style="63" hidden="1" customWidth="1"/>
    <col min="29" max="29" width="9.83203125" style="63" customWidth="1"/>
    <col min="30" max="31" width="8.83203125" style="63" hidden="1" customWidth="1"/>
    <col min="32" max="32" width="9.83203125" style="63" customWidth="1"/>
    <col min="33" max="34" width="8.83203125" style="63" hidden="1" customWidth="1"/>
    <col min="35" max="35" width="9.83203125" style="63" customWidth="1"/>
    <col min="36" max="37" width="8.83203125" style="63" hidden="1" customWidth="1"/>
    <col min="38" max="38" width="9.83203125" style="63" customWidth="1"/>
    <col min="39" max="40" width="8.83203125" style="63" hidden="1" customWidth="1"/>
    <col min="41" max="41" width="8.83203125" style="69" customWidth="1"/>
    <col min="42" max="43" width="10.5" style="63" customWidth="1"/>
    <col min="44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1:84" ht="35" customHeight="1" x14ac:dyDescent="0.3">
      <c r="E1" s="63">
        <v>1</v>
      </c>
      <c r="F1" s="65">
        <v>1</v>
      </c>
      <c r="I1" s="34">
        <v>2</v>
      </c>
      <c r="J1" s="66"/>
      <c r="K1" s="66"/>
      <c r="L1" s="67" t="s">
        <v>20</v>
      </c>
      <c r="M1" s="68"/>
      <c r="N1" s="68"/>
      <c r="O1" s="68"/>
      <c r="AW1" s="10"/>
      <c r="AX1" s="41" t="s">
        <v>21</v>
      </c>
      <c r="AY1" s="40">
        <f>12-I1</f>
        <v>10</v>
      </c>
    </row>
    <row r="2" spans="1:84" s="3" customFormat="1" x14ac:dyDescent="0.2">
      <c r="A2" s="70"/>
      <c r="B2" s="71" t="s">
        <v>38</v>
      </c>
      <c r="C2" s="70"/>
      <c r="D2" s="72" t="s">
        <v>3</v>
      </c>
      <c r="E2" s="73" t="s">
        <v>14</v>
      </c>
      <c r="F2" s="74"/>
      <c r="G2" s="75"/>
      <c r="H2" s="73" t="s">
        <v>15</v>
      </c>
      <c r="I2" s="76"/>
      <c r="J2" s="75"/>
      <c r="K2" s="73" t="s">
        <v>16</v>
      </c>
      <c r="L2" s="74"/>
      <c r="M2" s="75"/>
      <c r="N2" s="73" t="s">
        <v>17</v>
      </c>
      <c r="O2" s="74"/>
      <c r="P2" s="75"/>
      <c r="Q2" s="73" t="s">
        <v>0</v>
      </c>
      <c r="R2" s="74"/>
      <c r="S2" s="75"/>
      <c r="T2" s="73" t="s">
        <v>18</v>
      </c>
      <c r="U2" s="74"/>
      <c r="V2" s="75"/>
      <c r="W2" s="73" t="s">
        <v>8</v>
      </c>
      <c r="X2" s="74"/>
      <c r="Y2" s="75"/>
      <c r="Z2" s="73" t="s">
        <v>9</v>
      </c>
      <c r="AA2" s="74"/>
      <c r="AB2" s="75"/>
      <c r="AC2" s="73" t="s">
        <v>10</v>
      </c>
      <c r="AD2" s="74"/>
      <c r="AE2" s="75"/>
      <c r="AF2" s="73" t="s">
        <v>11</v>
      </c>
      <c r="AG2" s="74"/>
      <c r="AH2" s="75"/>
      <c r="AI2" s="73" t="s">
        <v>12</v>
      </c>
      <c r="AJ2" s="74"/>
      <c r="AK2" s="75"/>
      <c r="AL2" s="73" t="s">
        <v>13</v>
      </c>
      <c r="AM2" s="74"/>
      <c r="AN2" s="74"/>
      <c r="AO2" s="77"/>
      <c r="AP2" s="78" t="s">
        <v>107</v>
      </c>
      <c r="AQ2" s="79"/>
      <c r="AR2" s="27"/>
      <c r="AS2" s="28"/>
      <c r="AT2" s="28"/>
      <c r="AU2" s="28" t="s">
        <v>103</v>
      </c>
      <c r="AV2" s="31"/>
      <c r="AW2" s="58" t="s">
        <v>22</v>
      </c>
      <c r="AX2" s="58"/>
      <c r="AY2" s="60"/>
      <c r="AZ2" s="58"/>
      <c r="BA2" s="58"/>
      <c r="BB2" s="58"/>
      <c r="BC2" s="58"/>
      <c r="BD2" s="58"/>
      <c r="BE2" s="58"/>
      <c r="BF2" s="58"/>
      <c r="BG2" s="58"/>
      <c r="BH2" s="59"/>
      <c r="BI2" s="57" t="s">
        <v>101</v>
      </c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9"/>
      <c r="BU2" s="57" t="s">
        <v>102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9"/>
    </row>
    <row r="3" spans="1:84" s="3" customFormat="1" x14ac:dyDescent="0.2">
      <c r="A3" s="70"/>
      <c r="B3" s="64" t="s">
        <v>110</v>
      </c>
      <c r="C3" s="70" t="s">
        <v>111</v>
      </c>
      <c r="D3" s="70"/>
      <c r="E3" s="82" t="s">
        <v>39</v>
      </c>
      <c r="F3" s="83" t="s">
        <v>2</v>
      </c>
      <c r="G3" s="84" t="s">
        <v>1</v>
      </c>
      <c r="H3" s="82" t="s">
        <v>40</v>
      </c>
      <c r="I3" s="83" t="s">
        <v>2</v>
      </c>
      <c r="J3" s="84" t="s">
        <v>1</v>
      </c>
      <c r="K3" s="82" t="s">
        <v>41</v>
      </c>
      <c r="L3" s="83" t="s">
        <v>2</v>
      </c>
      <c r="M3" s="84" t="s">
        <v>1</v>
      </c>
      <c r="N3" s="82" t="s">
        <v>42</v>
      </c>
      <c r="O3" s="83" t="s">
        <v>2</v>
      </c>
      <c r="P3" s="84" t="s">
        <v>1</v>
      </c>
      <c r="Q3" s="82" t="s">
        <v>43</v>
      </c>
      <c r="R3" s="83" t="s">
        <v>2</v>
      </c>
      <c r="S3" s="84" t="s">
        <v>1</v>
      </c>
      <c r="T3" s="82" t="s">
        <v>44</v>
      </c>
      <c r="U3" s="83" t="s">
        <v>2</v>
      </c>
      <c r="V3" s="84" t="s">
        <v>1</v>
      </c>
      <c r="W3" s="82" t="s">
        <v>45</v>
      </c>
      <c r="X3" s="83" t="s">
        <v>2</v>
      </c>
      <c r="Y3" s="84" t="s">
        <v>1</v>
      </c>
      <c r="Z3" s="82" t="s">
        <v>46</v>
      </c>
      <c r="AA3" s="83" t="s">
        <v>2</v>
      </c>
      <c r="AB3" s="84" t="s">
        <v>1</v>
      </c>
      <c r="AC3" s="82" t="s">
        <v>47</v>
      </c>
      <c r="AD3" s="83" t="s">
        <v>2</v>
      </c>
      <c r="AE3" s="84" t="s">
        <v>1</v>
      </c>
      <c r="AF3" s="82" t="s">
        <v>48</v>
      </c>
      <c r="AG3" s="83" t="s">
        <v>2</v>
      </c>
      <c r="AH3" s="84" t="s">
        <v>1</v>
      </c>
      <c r="AI3" s="82" t="s">
        <v>49</v>
      </c>
      <c r="AJ3" s="83" t="s">
        <v>2</v>
      </c>
      <c r="AK3" s="84" t="s">
        <v>1</v>
      </c>
      <c r="AL3" s="85" t="s">
        <v>50</v>
      </c>
      <c r="AM3" s="86" t="s">
        <v>2</v>
      </c>
      <c r="AN3" s="86" t="s">
        <v>1</v>
      </c>
      <c r="AO3" s="87" t="s">
        <v>99</v>
      </c>
      <c r="AP3" s="88" t="s">
        <v>100</v>
      </c>
      <c r="AQ3" s="88" t="s">
        <v>26</v>
      </c>
      <c r="AR3" s="29"/>
      <c r="AS3" s="30"/>
      <c r="AT3" s="39" t="s">
        <v>109</v>
      </c>
      <c r="AU3" s="32" t="s">
        <v>19</v>
      </c>
      <c r="AV3" s="33" t="s">
        <v>26</v>
      </c>
      <c r="AW3" s="3">
        <v>1</v>
      </c>
      <c r="AX3" s="3">
        <v>2</v>
      </c>
      <c r="AY3" s="3">
        <v>3</v>
      </c>
      <c r="AZ3" s="3">
        <v>4</v>
      </c>
      <c r="BA3" s="3">
        <v>5</v>
      </c>
      <c r="BB3" s="3">
        <v>6</v>
      </c>
      <c r="BC3" s="3">
        <v>7</v>
      </c>
      <c r="BD3" s="3">
        <v>8</v>
      </c>
      <c r="BE3" s="3">
        <v>9</v>
      </c>
      <c r="BF3" s="3">
        <v>10</v>
      </c>
      <c r="BG3" s="3">
        <v>11</v>
      </c>
      <c r="BH3" s="3">
        <v>12</v>
      </c>
      <c r="BI3" s="3">
        <v>1</v>
      </c>
      <c r="BJ3" s="3">
        <v>2</v>
      </c>
      <c r="BK3" s="3">
        <v>3</v>
      </c>
      <c r="BL3" s="3">
        <v>4</v>
      </c>
      <c r="BM3" s="3">
        <v>5</v>
      </c>
      <c r="BN3" s="3">
        <v>6</v>
      </c>
      <c r="BO3" s="3">
        <v>7</v>
      </c>
      <c r="BP3" s="3">
        <v>8</v>
      </c>
      <c r="BQ3" s="3">
        <v>9</v>
      </c>
      <c r="BR3" s="3">
        <v>10</v>
      </c>
      <c r="BS3" s="3">
        <v>11</v>
      </c>
      <c r="BT3" s="3">
        <v>12</v>
      </c>
      <c r="BU3" s="3">
        <v>1</v>
      </c>
      <c r="BV3" s="3">
        <v>2</v>
      </c>
      <c r="BW3" s="3">
        <v>3</v>
      </c>
      <c r="BX3" s="3">
        <v>4</v>
      </c>
      <c r="BY3" s="3">
        <v>5</v>
      </c>
      <c r="BZ3" s="3">
        <v>6</v>
      </c>
      <c r="CA3" s="3">
        <v>7</v>
      </c>
      <c r="CB3" s="3">
        <v>8</v>
      </c>
      <c r="CC3" s="3">
        <v>9</v>
      </c>
      <c r="CD3" s="3">
        <v>10</v>
      </c>
      <c r="CE3" s="3">
        <v>11</v>
      </c>
      <c r="CF3" s="3">
        <v>12</v>
      </c>
    </row>
    <row r="4" spans="1:84" s="3" customFormat="1" x14ac:dyDescent="0.2">
      <c r="A4" s="70"/>
      <c r="B4" s="64"/>
      <c r="C4" s="70" t="s">
        <v>89</v>
      </c>
      <c r="D4" s="70" t="s">
        <v>3</v>
      </c>
      <c r="E4" s="14"/>
      <c r="F4" s="19"/>
      <c r="G4" s="93">
        <f>F4-E4</f>
        <v>0</v>
      </c>
      <c r="H4" s="14"/>
      <c r="I4" s="19"/>
      <c r="J4" s="93">
        <f>I4-H4</f>
        <v>0</v>
      </c>
      <c r="K4" s="14"/>
      <c r="L4" s="19"/>
      <c r="M4" s="93">
        <f t="shared" ref="M4:M14" si="0">L4-K4</f>
        <v>0</v>
      </c>
      <c r="N4" s="14"/>
      <c r="O4" s="19"/>
      <c r="P4" s="93">
        <f t="shared" ref="P4:P14" si="1">O4-N4</f>
        <v>0</v>
      </c>
      <c r="Q4" s="14"/>
      <c r="R4" s="19"/>
      <c r="S4" s="93">
        <f t="shared" ref="S4:S14" si="2">R4-Q4</f>
        <v>0</v>
      </c>
      <c r="T4" s="14"/>
      <c r="U4" s="19"/>
      <c r="V4" s="93">
        <f t="shared" ref="V4:V14" si="3">U4-T4</f>
        <v>0</v>
      </c>
      <c r="W4" s="14"/>
      <c r="X4" s="19"/>
      <c r="Y4" s="93">
        <f t="shared" ref="Y4:Y14" si="4">X4-W4</f>
        <v>0</v>
      </c>
      <c r="Z4" s="14"/>
      <c r="AA4" s="19"/>
      <c r="AB4" s="93">
        <f t="shared" ref="AB4:AB14" si="5">AA4-Z4</f>
        <v>0</v>
      </c>
      <c r="AC4" s="14"/>
      <c r="AD4" s="19"/>
      <c r="AE4" s="93">
        <f t="shared" ref="AE4:AE14" si="6">AD4-AC4</f>
        <v>0</v>
      </c>
      <c r="AF4" s="14"/>
      <c r="AG4" s="19"/>
      <c r="AH4" s="93">
        <f t="shared" ref="AH4:AH14" si="7">AG4-AF4</f>
        <v>0</v>
      </c>
      <c r="AI4" s="14"/>
      <c r="AJ4" s="19"/>
      <c r="AK4" s="93">
        <f t="shared" ref="AK4:AK14" si="8">AJ4-AI4</f>
        <v>0</v>
      </c>
      <c r="AL4" s="14"/>
      <c r="AM4" s="19"/>
      <c r="AN4" s="93">
        <f t="shared" ref="AN4:AN14" si="9">AM4-AL4</f>
        <v>0</v>
      </c>
      <c r="AO4" s="94">
        <f t="shared" ref="AO4:AO14" si="10">INDEX(BI4:BT4,1,$I$1)</f>
        <v>0</v>
      </c>
      <c r="AP4" s="95">
        <f t="shared" ref="AP4:AP14" si="11">INDEX(BU4:CF4,1,$I$1)</f>
        <v>0</v>
      </c>
      <c r="AQ4" s="96">
        <f>AP4-AO4</f>
        <v>0</v>
      </c>
      <c r="AR4" s="6" t="str">
        <f t="shared" ref="AR4:AR14" si="12">C4</f>
        <v>OMSÆTNING I ALT</v>
      </c>
      <c r="AT4" s="9"/>
      <c r="AU4" s="37">
        <f>INDEX(AW4:BH4,1,$I$1)</f>
        <v>0</v>
      </c>
      <c r="AV4" s="9">
        <f>AU4-AT4</f>
        <v>0</v>
      </c>
      <c r="AW4" s="3">
        <f>AL4+AI4+AF4+AC4+Z4+W4+T4+Q4+N4+K4+H4+F4</f>
        <v>0</v>
      </c>
      <c r="AX4" s="3">
        <f>AL4+AI4+AF4+AC4+Z4+W4+T4+Q4+N4+K4+I4+F4</f>
        <v>0</v>
      </c>
      <c r="AY4" s="3">
        <f>AL4+AI4+AF4+AC4+Z4+W4+T4+Q4+N4+L4+I4+F4</f>
        <v>0</v>
      </c>
      <c r="AZ4" s="3">
        <f>AL4+AI4+AF4+AC4+Z4+W4+T4+Q4+O4+L4+I4+F4</f>
        <v>0</v>
      </c>
      <c r="BA4" s="3">
        <f>AL4+AI4+AF4+AC4+Z4+W4+T4+R4+O4+L4+I4+F4</f>
        <v>0</v>
      </c>
      <c r="BB4" s="3">
        <f>AL4+AI4+AF4+AC4+Z4+W4+U4+R4+O4+L4+I4+F4</f>
        <v>0</v>
      </c>
      <c r="BC4" s="3">
        <f>AL4+AI4+AF4+AC4+Z4+X4+U4+R4+O4+L4+I4+F4</f>
        <v>0</v>
      </c>
      <c r="BD4" s="3">
        <f>AL4+AI4+AF4+AC4+AA4+X4+U4+R4+O4+L4+I4+F4</f>
        <v>0</v>
      </c>
      <c r="BE4" s="3">
        <f>AL4+AI4+AF4+AD4+AA4+X4+U4+R4+O4+L4+I4+F4</f>
        <v>0</v>
      </c>
      <c r="BF4" s="3">
        <f>AL4+AI4+AG4+AD4+AA4+X4+U4+R4+O4+L4+I4+F4</f>
        <v>0</v>
      </c>
      <c r="BG4" s="3">
        <f>AL4+AJ4+AG4+AD4+AA4+X4+U4+R4+O4+L4+I4+F4</f>
        <v>0</v>
      </c>
      <c r="BH4" s="3">
        <f>AM4+AJ4+AG4+AD4+AA4+X4+U4+R4+O4+L4+I4+F4</f>
        <v>0</v>
      </c>
      <c r="BI4" s="3">
        <f>E4</f>
        <v>0</v>
      </c>
      <c r="BJ4" s="3">
        <f t="shared" ref="BJ4:BJ15" si="13">BI4+H4</f>
        <v>0</v>
      </c>
      <c r="BK4" s="3">
        <f t="shared" ref="BK4:BK15" si="14">BJ4+K4</f>
        <v>0</v>
      </c>
      <c r="BL4" s="3">
        <f t="shared" ref="BL4:BL15" si="15">BK4+N4</f>
        <v>0</v>
      </c>
      <c r="BM4" s="3">
        <f t="shared" ref="BM4:BM15" si="16">BL4+Q4</f>
        <v>0</v>
      </c>
      <c r="BN4" s="3">
        <f t="shared" ref="BN4:BN15" si="17">BM4+T4</f>
        <v>0</v>
      </c>
      <c r="BO4" s="3">
        <f t="shared" ref="BO4:BO15" si="18">BN4+W4</f>
        <v>0</v>
      </c>
      <c r="BP4" s="3">
        <f t="shared" ref="BP4:BP15" si="19">BO4+Z4</f>
        <v>0</v>
      </c>
      <c r="BQ4" s="3">
        <f t="shared" ref="BQ4:BQ15" si="20">BP4+AC4</f>
        <v>0</v>
      </c>
      <c r="BR4" s="3">
        <f t="shared" ref="BR4:BR15" si="21">+BQ4+AF4</f>
        <v>0</v>
      </c>
      <c r="BS4" s="3">
        <f t="shared" ref="BS4:BS15" si="22">+BR4+AI4</f>
        <v>0</v>
      </c>
      <c r="BT4" s="3">
        <f t="shared" ref="BT4:BT15" si="23">BS4+AL4</f>
        <v>0</v>
      </c>
      <c r="BU4" s="3">
        <f>F4</f>
        <v>0</v>
      </c>
      <c r="BV4" s="3">
        <f t="shared" ref="BV4:BV15" si="24">BU4+I4</f>
        <v>0</v>
      </c>
      <c r="BW4" s="3">
        <f t="shared" ref="BW4:BW15" si="25">BV4+L4</f>
        <v>0</v>
      </c>
      <c r="BX4" s="3">
        <f t="shared" ref="BX4:BX15" si="26">BW4+O4</f>
        <v>0</v>
      </c>
      <c r="BY4" s="3">
        <f t="shared" ref="BY4:BY15" si="27">BX4+R4</f>
        <v>0</v>
      </c>
      <c r="BZ4" s="3">
        <f t="shared" ref="BZ4:BZ15" si="28">BY4+U4</f>
        <v>0</v>
      </c>
      <c r="CA4" s="3">
        <f t="shared" ref="CA4:CA15" si="29">BZ4+X4</f>
        <v>0</v>
      </c>
      <c r="CB4" s="3">
        <f t="shared" ref="CB4:CB15" si="30">CA4+AA4</f>
        <v>0</v>
      </c>
      <c r="CC4" s="3">
        <f t="shared" ref="CC4:CC15" si="31">CB4+AD4</f>
        <v>0</v>
      </c>
      <c r="CD4" s="3">
        <f t="shared" ref="CD4:CD15" si="32">+CC4+AG4</f>
        <v>0</v>
      </c>
      <c r="CE4" s="3">
        <f t="shared" ref="CE4:CE15" si="33">+CD4+AJ4</f>
        <v>0</v>
      </c>
      <c r="CF4" s="3">
        <f t="shared" ref="CF4:CF15" si="34">CE4+AM4</f>
        <v>0</v>
      </c>
    </row>
    <row r="5" spans="1:84" s="3" customFormat="1" x14ac:dyDescent="0.2">
      <c r="A5" s="70"/>
      <c r="B5" s="64"/>
      <c r="C5" s="70" t="s">
        <v>108</v>
      </c>
      <c r="D5" s="70" t="s">
        <v>3</v>
      </c>
      <c r="E5" s="14"/>
      <c r="F5" s="19"/>
      <c r="G5" s="93">
        <f t="shared" ref="G5:G14" si="35">F5-E5</f>
        <v>0</v>
      </c>
      <c r="H5" s="14"/>
      <c r="I5" s="19"/>
      <c r="J5" s="93">
        <f t="shared" ref="J5:J6" si="36">I5-H5</f>
        <v>0</v>
      </c>
      <c r="K5" s="14"/>
      <c r="L5" s="19"/>
      <c r="M5" s="93">
        <f t="shared" si="0"/>
        <v>0</v>
      </c>
      <c r="N5" s="14"/>
      <c r="O5" s="19"/>
      <c r="P5" s="93">
        <f t="shared" si="1"/>
        <v>0</v>
      </c>
      <c r="Q5" s="14"/>
      <c r="R5" s="19"/>
      <c r="S5" s="93">
        <f t="shared" si="2"/>
        <v>0</v>
      </c>
      <c r="T5" s="14"/>
      <c r="U5" s="19"/>
      <c r="V5" s="93">
        <f t="shared" si="3"/>
        <v>0</v>
      </c>
      <c r="W5" s="14"/>
      <c r="X5" s="19"/>
      <c r="Y5" s="93">
        <f t="shared" si="4"/>
        <v>0</v>
      </c>
      <c r="Z5" s="14"/>
      <c r="AA5" s="19"/>
      <c r="AB5" s="93">
        <f t="shared" si="5"/>
        <v>0</v>
      </c>
      <c r="AC5" s="14"/>
      <c r="AD5" s="19"/>
      <c r="AE5" s="93">
        <f t="shared" si="6"/>
        <v>0</v>
      </c>
      <c r="AF5" s="14"/>
      <c r="AG5" s="19"/>
      <c r="AH5" s="93">
        <f t="shared" si="7"/>
        <v>0</v>
      </c>
      <c r="AI5" s="14"/>
      <c r="AJ5" s="19"/>
      <c r="AK5" s="93">
        <f t="shared" si="8"/>
        <v>0</v>
      </c>
      <c r="AL5" s="14"/>
      <c r="AM5" s="19"/>
      <c r="AN5" s="93">
        <f t="shared" si="9"/>
        <v>0</v>
      </c>
      <c r="AO5" s="94">
        <f t="shared" si="10"/>
        <v>0</v>
      </c>
      <c r="AP5" s="95">
        <f t="shared" si="11"/>
        <v>0</v>
      </c>
      <c r="AQ5" s="96">
        <f t="shared" ref="AQ5:AQ6" si="37">AP5-AO5</f>
        <v>0</v>
      </c>
      <c r="AR5" s="6" t="str">
        <f t="shared" si="12"/>
        <v xml:space="preserve">   SUM AF FRØ</v>
      </c>
      <c r="AT5" s="9"/>
      <c r="AU5" s="37">
        <f>INDEX(AW5:BH5,1,$I$1)</f>
        <v>0</v>
      </c>
      <c r="AV5" s="9">
        <f t="shared" ref="AV5:AV6" si="38">AU5-AT5</f>
        <v>0</v>
      </c>
      <c r="AW5" s="3">
        <f>AL5+AI5+AF5+AC5+Z5+W5+T5+Q5+N5+K5+H5+F5</f>
        <v>0</v>
      </c>
      <c r="AX5" s="3">
        <f>AL5+AI5+AF5+AC5+Z5+W5+T5+Q5+N5+K5+I5+F5</f>
        <v>0</v>
      </c>
      <c r="AY5" s="3">
        <f>AL5+AI5+AF5+AC5+Z5+W5+T5+Q5+N5+L5+I5+F5</f>
        <v>0</v>
      </c>
      <c r="AZ5" s="3">
        <f>AL5+AI5+AF5+AC5+Z5+W5+T5+Q5+O5+L5+I5+F5</f>
        <v>0</v>
      </c>
      <c r="BA5" s="3">
        <f>AL5+AI5+AF5+AC5+Z5+W5+T5+R5+O5+L5+I5+F5</f>
        <v>0</v>
      </c>
      <c r="BB5" s="3">
        <f>AL5+AI5+AF5+AC5+Z5+W5+U5+R5+O5+L5+I5+F5</f>
        <v>0</v>
      </c>
      <c r="BC5" s="3">
        <f>AL5+AI5+AF5+AC5+Z5+X5+U5+R5+O5+L5+I5+F5</f>
        <v>0</v>
      </c>
      <c r="BD5" s="3">
        <f>AL5+AI5+AF5+AC5+AA5+X5+U5+R5+O5+L5+I5+F5</f>
        <v>0</v>
      </c>
      <c r="BE5" s="3">
        <f>AL5+AI5+AF5+AD5+AA5+X5+U5+R5+O5+L5+I5+F5</f>
        <v>0</v>
      </c>
      <c r="BF5" s="3">
        <f>AL5+AI5+AG5+AD5+AA5+X5+U5+R5+O5+L5+I5+F5</f>
        <v>0</v>
      </c>
      <c r="BG5" s="3">
        <f>AL5+AJ5+AG5+AD5+AA5+X5+U5+R5+O5+L5+I5+F5</f>
        <v>0</v>
      </c>
      <c r="BH5" s="3">
        <f>AM5+AJ5+AG5+AD5+AA5+X5+U5+R5+O5+L5+I5+F5</f>
        <v>0</v>
      </c>
      <c r="BI5" s="3">
        <f t="shared" ref="BI5:BI15" si="39">E5</f>
        <v>0</v>
      </c>
      <c r="BJ5" s="3">
        <f t="shared" si="13"/>
        <v>0</v>
      </c>
      <c r="BK5" s="3">
        <f t="shared" si="14"/>
        <v>0</v>
      </c>
      <c r="BL5" s="3">
        <f t="shared" si="15"/>
        <v>0</v>
      </c>
      <c r="BM5" s="3">
        <f t="shared" si="16"/>
        <v>0</v>
      </c>
      <c r="BN5" s="3">
        <f t="shared" si="17"/>
        <v>0</v>
      </c>
      <c r="BO5" s="3">
        <f t="shared" si="18"/>
        <v>0</v>
      </c>
      <c r="BP5" s="3">
        <f t="shared" si="19"/>
        <v>0</v>
      </c>
      <c r="BQ5" s="3">
        <f t="shared" si="20"/>
        <v>0</v>
      </c>
      <c r="BR5" s="3">
        <f t="shared" si="21"/>
        <v>0</v>
      </c>
      <c r="BS5" s="3">
        <f t="shared" si="22"/>
        <v>0</v>
      </c>
      <c r="BT5" s="3">
        <f t="shared" si="23"/>
        <v>0</v>
      </c>
      <c r="BU5" s="3">
        <f t="shared" ref="BU5:BU15" si="40">F5</f>
        <v>0</v>
      </c>
      <c r="BV5" s="3">
        <f t="shared" si="24"/>
        <v>0</v>
      </c>
      <c r="BW5" s="3">
        <f t="shared" si="25"/>
        <v>0</v>
      </c>
      <c r="BX5" s="3">
        <f t="shared" si="26"/>
        <v>0</v>
      </c>
      <c r="BY5" s="3">
        <f t="shared" si="27"/>
        <v>0</v>
      </c>
      <c r="BZ5" s="3">
        <f t="shared" si="28"/>
        <v>0</v>
      </c>
      <c r="CA5" s="3">
        <f t="shared" si="29"/>
        <v>0</v>
      </c>
      <c r="CB5" s="3">
        <f t="shared" si="30"/>
        <v>0</v>
      </c>
      <c r="CC5" s="3">
        <f t="shared" si="31"/>
        <v>0</v>
      </c>
      <c r="CD5" s="3">
        <f t="shared" si="32"/>
        <v>0</v>
      </c>
      <c r="CE5" s="3">
        <f t="shared" si="33"/>
        <v>0</v>
      </c>
      <c r="CF5" s="3">
        <f t="shared" si="34"/>
        <v>0</v>
      </c>
    </row>
    <row r="6" spans="1:84" s="3" customFormat="1" x14ac:dyDescent="0.2">
      <c r="A6" s="70"/>
      <c r="B6" s="64"/>
      <c r="C6" s="70" t="s">
        <v>90</v>
      </c>
      <c r="D6" s="70" t="s">
        <v>3</v>
      </c>
      <c r="E6" s="14"/>
      <c r="F6" s="19"/>
      <c r="G6" s="93">
        <f t="shared" si="35"/>
        <v>0</v>
      </c>
      <c r="H6" s="14"/>
      <c r="I6" s="19"/>
      <c r="J6" s="93">
        <f t="shared" si="36"/>
        <v>0</v>
      </c>
      <c r="K6" s="14"/>
      <c r="L6" s="19"/>
      <c r="M6" s="93">
        <f t="shared" si="0"/>
        <v>0</v>
      </c>
      <c r="N6" s="14"/>
      <c r="O6" s="19"/>
      <c r="P6" s="93">
        <f t="shared" si="1"/>
        <v>0</v>
      </c>
      <c r="Q6" s="14"/>
      <c r="R6" s="19"/>
      <c r="S6" s="93">
        <f t="shared" si="2"/>
        <v>0</v>
      </c>
      <c r="T6" s="14"/>
      <c r="U6" s="19"/>
      <c r="V6" s="93">
        <f t="shared" si="3"/>
        <v>0</v>
      </c>
      <c r="W6" s="14"/>
      <c r="X6" s="19"/>
      <c r="Y6" s="93">
        <f t="shared" si="4"/>
        <v>0</v>
      </c>
      <c r="Z6" s="14"/>
      <c r="AA6" s="19"/>
      <c r="AB6" s="93">
        <f t="shared" si="5"/>
        <v>0</v>
      </c>
      <c r="AC6" s="14"/>
      <c r="AD6" s="19"/>
      <c r="AE6" s="93">
        <f t="shared" si="6"/>
        <v>0</v>
      </c>
      <c r="AF6" s="14"/>
      <c r="AG6" s="19"/>
      <c r="AH6" s="93">
        <f t="shared" si="7"/>
        <v>0</v>
      </c>
      <c r="AI6" s="14"/>
      <c r="AJ6" s="19"/>
      <c r="AK6" s="93">
        <f t="shared" si="8"/>
        <v>0</v>
      </c>
      <c r="AL6" s="14"/>
      <c r="AM6" s="19"/>
      <c r="AN6" s="93">
        <f t="shared" si="9"/>
        <v>0</v>
      </c>
      <c r="AO6" s="94">
        <f t="shared" si="10"/>
        <v>0</v>
      </c>
      <c r="AP6" s="95">
        <f t="shared" si="11"/>
        <v>0</v>
      </c>
      <c r="AQ6" s="96">
        <f t="shared" si="37"/>
        <v>0</v>
      </c>
      <c r="AR6" s="6" t="str">
        <f t="shared" si="12"/>
        <v>VAREFORBRUG</v>
      </c>
      <c r="AT6" s="9"/>
      <c r="AU6" s="37">
        <f>INDEX(AW6:BH6,1,$I$1)</f>
        <v>0</v>
      </c>
      <c r="AV6" s="9">
        <f t="shared" si="38"/>
        <v>0</v>
      </c>
      <c r="AW6" s="3">
        <f>AL6+AI6+AF6+AC6+Z6+W6+T6+Q6+N6+K6+H6+F6</f>
        <v>0</v>
      </c>
      <c r="AX6" s="3">
        <f>AL6+AI6+AF6+AC6+Z6+W6+T6+Q6+N6+K6+I6+F6</f>
        <v>0</v>
      </c>
      <c r="AY6" s="3">
        <f>AL6+AI6+AF6+AC6+Z6+W6+T6+Q6+N6+L6+I6+F6</f>
        <v>0</v>
      </c>
      <c r="AZ6" s="3">
        <f>AL6+AI6+AF6+AC6+Z6+W6+T6+Q6+O6+L6+I6+F6</f>
        <v>0</v>
      </c>
      <c r="BA6" s="3">
        <f>AL6+AI6+AF6+AC6+Z6+W6+T6+R6+O6+L6+I6+F6</f>
        <v>0</v>
      </c>
      <c r="BB6" s="3">
        <f>AL6+AI6+AF6+AC6+Z6+W6+U6+R6+O6+L6+I6+F6</f>
        <v>0</v>
      </c>
      <c r="BC6" s="3">
        <f>AL6+AI6+AF6+AC6+Z6+X6+U6+R6+O6+L6+I6+F6</f>
        <v>0</v>
      </c>
      <c r="BD6" s="3">
        <f>AL6+AI6+AF6+AC6+AA6+X6+U6+R6+O6+L6+I6+F6</f>
        <v>0</v>
      </c>
      <c r="BE6" s="3">
        <f>AL6+AI6+AF6+AD6+AA6+X6+U6+R6+O6+L6+I6+F6</f>
        <v>0</v>
      </c>
      <c r="BF6" s="3">
        <f>AL6+AI6+AG6+AD6+AA6+X6+U6+R6+O6+L6+I6+F6</f>
        <v>0</v>
      </c>
      <c r="BG6" s="3">
        <f>AL6+AJ6+AG6+AD6+AA6+X6+U6+R6+O6+L6+I6+F6</f>
        <v>0</v>
      </c>
      <c r="BH6" s="3">
        <f>AM6+AJ6+AG6+AD6+AA6+X6+U6+R6+O6+L6+I6+F6</f>
        <v>0</v>
      </c>
      <c r="BI6" s="3">
        <f t="shared" si="39"/>
        <v>0</v>
      </c>
      <c r="BJ6" s="3">
        <f t="shared" si="13"/>
        <v>0</v>
      </c>
      <c r="BK6" s="3">
        <f t="shared" si="14"/>
        <v>0</v>
      </c>
      <c r="BL6" s="3">
        <f t="shared" si="15"/>
        <v>0</v>
      </c>
      <c r="BM6" s="3">
        <f t="shared" si="16"/>
        <v>0</v>
      </c>
      <c r="BN6" s="3">
        <f t="shared" si="17"/>
        <v>0</v>
      </c>
      <c r="BO6" s="3">
        <f t="shared" si="18"/>
        <v>0</v>
      </c>
      <c r="BP6" s="3">
        <f t="shared" si="19"/>
        <v>0</v>
      </c>
      <c r="BQ6" s="3">
        <f t="shared" si="20"/>
        <v>0</v>
      </c>
      <c r="BR6" s="3">
        <f t="shared" si="21"/>
        <v>0</v>
      </c>
      <c r="BS6" s="3">
        <f t="shared" si="22"/>
        <v>0</v>
      </c>
      <c r="BT6" s="3">
        <f t="shared" si="23"/>
        <v>0</v>
      </c>
      <c r="BU6" s="3">
        <f t="shared" si="40"/>
        <v>0</v>
      </c>
      <c r="BV6" s="3">
        <f t="shared" si="24"/>
        <v>0</v>
      </c>
      <c r="BW6" s="3">
        <f t="shared" si="25"/>
        <v>0</v>
      </c>
      <c r="BX6" s="3">
        <f t="shared" si="26"/>
        <v>0</v>
      </c>
      <c r="BY6" s="3">
        <f t="shared" si="27"/>
        <v>0</v>
      </c>
      <c r="BZ6" s="3">
        <f t="shared" si="28"/>
        <v>0</v>
      </c>
      <c r="CA6" s="3">
        <f t="shared" si="29"/>
        <v>0</v>
      </c>
      <c r="CB6" s="3">
        <f t="shared" si="30"/>
        <v>0</v>
      </c>
      <c r="CC6" s="3">
        <f t="shared" si="31"/>
        <v>0</v>
      </c>
      <c r="CD6" s="3">
        <f t="shared" si="32"/>
        <v>0</v>
      </c>
      <c r="CE6" s="3">
        <f t="shared" si="33"/>
        <v>0</v>
      </c>
      <c r="CF6" s="3">
        <f t="shared" si="34"/>
        <v>0</v>
      </c>
    </row>
    <row r="7" spans="1:84" s="4" customFormat="1" x14ac:dyDescent="0.2">
      <c r="A7" s="72"/>
      <c r="B7" s="71"/>
      <c r="C7" s="72" t="s">
        <v>91</v>
      </c>
      <c r="D7" s="72"/>
      <c r="E7" s="99">
        <f>SUM(E4:E6)</f>
        <v>0</v>
      </c>
      <c r="F7" s="72">
        <f>SUM(F4:F6)</f>
        <v>0</v>
      </c>
      <c r="G7" s="93">
        <f t="shared" si="35"/>
        <v>0</v>
      </c>
      <c r="H7" s="99">
        <f>SUM(H4:H6)</f>
        <v>0</v>
      </c>
      <c r="I7" s="72">
        <f>SUM(I4:I6)</f>
        <v>0</v>
      </c>
      <c r="J7" s="100">
        <f>I7-H7</f>
        <v>0</v>
      </c>
      <c r="K7" s="99">
        <f>SUM(K4:K6)</f>
        <v>0</v>
      </c>
      <c r="L7" s="72">
        <f>SUM(L4:L6)</f>
        <v>0</v>
      </c>
      <c r="M7" s="100">
        <f t="shared" si="0"/>
        <v>0</v>
      </c>
      <c r="N7" s="99">
        <f>SUM(N4:N6)</f>
        <v>0</v>
      </c>
      <c r="O7" s="72">
        <f>SUM(O4:O6)</f>
        <v>0</v>
      </c>
      <c r="P7" s="100">
        <f t="shared" si="1"/>
        <v>0</v>
      </c>
      <c r="Q7" s="99">
        <f>SUM(Q4:Q6)</f>
        <v>0</v>
      </c>
      <c r="R7" s="72">
        <f>SUM(R4:R6)</f>
        <v>0</v>
      </c>
      <c r="S7" s="100">
        <f t="shared" si="2"/>
        <v>0</v>
      </c>
      <c r="T7" s="99">
        <f>SUM(T4:T6)</f>
        <v>0</v>
      </c>
      <c r="U7" s="72">
        <f>SUM(U4:U6)</f>
        <v>0</v>
      </c>
      <c r="V7" s="100">
        <f t="shared" si="3"/>
        <v>0</v>
      </c>
      <c r="W7" s="99">
        <f>SUM(W4:W6)</f>
        <v>0</v>
      </c>
      <c r="X7" s="72">
        <f>SUM(X4:X6)</f>
        <v>0</v>
      </c>
      <c r="Y7" s="100">
        <f t="shared" si="4"/>
        <v>0</v>
      </c>
      <c r="Z7" s="99">
        <f>SUM(Z4:Z6)</f>
        <v>0</v>
      </c>
      <c r="AA7" s="72">
        <f>SUM(AA4:AA6)</f>
        <v>0</v>
      </c>
      <c r="AB7" s="100">
        <f t="shared" si="5"/>
        <v>0</v>
      </c>
      <c r="AC7" s="99">
        <f>SUM(AC4:AC6)</f>
        <v>0</v>
      </c>
      <c r="AD7" s="72">
        <f>SUM(AD4:AD6)</f>
        <v>0</v>
      </c>
      <c r="AE7" s="100">
        <f t="shared" si="6"/>
        <v>0</v>
      </c>
      <c r="AF7" s="99">
        <f>SUM(AF4:AF6)</f>
        <v>0</v>
      </c>
      <c r="AG7" s="72">
        <f>SUM(AG4:AG6)</f>
        <v>0</v>
      </c>
      <c r="AH7" s="100">
        <f t="shared" si="7"/>
        <v>0</v>
      </c>
      <c r="AI7" s="99">
        <f>SUM(AI4:AI6)</f>
        <v>0</v>
      </c>
      <c r="AJ7" s="72">
        <f>SUM(AJ4:AJ6)</f>
        <v>0</v>
      </c>
      <c r="AK7" s="100">
        <f t="shared" si="8"/>
        <v>0</v>
      </c>
      <c r="AL7" s="99">
        <f>SUM(AL4:AL6)</f>
        <v>0</v>
      </c>
      <c r="AM7" s="72">
        <f>SUM(AM4:AM6)</f>
        <v>0</v>
      </c>
      <c r="AN7" s="100">
        <f t="shared" si="9"/>
        <v>0</v>
      </c>
      <c r="AO7" s="101">
        <f t="shared" si="10"/>
        <v>0</v>
      </c>
      <c r="AP7" s="101">
        <f t="shared" si="11"/>
        <v>0</v>
      </c>
      <c r="AQ7" s="101">
        <f>SUM(AQ4:AQ6)</f>
        <v>0</v>
      </c>
      <c r="AR7" s="26" t="str">
        <f t="shared" si="12"/>
        <v>DÆKNINGSBIDRAG</v>
      </c>
      <c r="AT7" s="36">
        <f>SUM(AT4:AT6)</f>
        <v>0</v>
      </c>
      <c r="AU7" s="35">
        <f>SUM(AU4:AU6)</f>
        <v>0</v>
      </c>
      <c r="AV7" s="36">
        <f>SUM(AV4:AV6)</f>
        <v>0</v>
      </c>
      <c r="AW7" s="4">
        <f>SUM(AW4:AW6)</f>
        <v>0</v>
      </c>
      <c r="AX7" s="4">
        <f>SUM(AX4:AX6)</f>
        <v>0</v>
      </c>
      <c r="AY7" s="4">
        <f t="shared" ref="AY7:BH7" si="41">SUM(AY4:AY6)</f>
        <v>0</v>
      </c>
      <c r="AZ7" s="4">
        <f t="shared" si="41"/>
        <v>0</v>
      </c>
      <c r="BA7" s="4">
        <f t="shared" si="41"/>
        <v>0</v>
      </c>
      <c r="BB7" s="4">
        <f t="shared" si="41"/>
        <v>0</v>
      </c>
      <c r="BC7" s="4">
        <f t="shared" si="41"/>
        <v>0</v>
      </c>
      <c r="BD7" s="4">
        <f t="shared" si="41"/>
        <v>0</v>
      </c>
      <c r="BE7" s="4">
        <f t="shared" si="41"/>
        <v>0</v>
      </c>
      <c r="BF7" s="4">
        <f t="shared" si="41"/>
        <v>0</v>
      </c>
      <c r="BG7" s="4">
        <f t="shared" si="41"/>
        <v>0</v>
      </c>
      <c r="BH7" s="4">
        <f t="shared" si="41"/>
        <v>0</v>
      </c>
      <c r="BI7" s="4">
        <f t="shared" si="39"/>
        <v>0</v>
      </c>
      <c r="BJ7" s="4">
        <f t="shared" si="13"/>
        <v>0</v>
      </c>
      <c r="BK7" s="4">
        <f t="shared" si="14"/>
        <v>0</v>
      </c>
      <c r="BL7" s="4">
        <f t="shared" si="15"/>
        <v>0</v>
      </c>
      <c r="BM7" s="4">
        <f t="shared" si="16"/>
        <v>0</v>
      </c>
      <c r="BN7" s="4">
        <f t="shared" si="17"/>
        <v>0</v>
      </c>
      <c r="BO7" s="4">
        <f t="shared" si="18"/>
        <v>0</v>
      </c>
      <c r="BP7" s="4">
        <f t="shared" si="19"/>
        <v>0</v>
      </c>
      <c r="BQ7" s="4">
        <f t="shared" si="20"/>
        <v>0</v>
      </c>
      <c r="BR7" s="4">
        <f t="shared" si="21"/>
        <v>0</v>
      </c>
      <c r="BS7" s="4">
        <f t="shared" si="22"/>
        <v>0</v>
      </c>
      <c r="BT7" s="4">
        <f t="shared" si="23"/>
        <v>0</v>
      </c>
      <c r="BU7" s="4">
        <f t="shared" si="40"/>
        <v>0</v>
      </c>
      <c r="BV7" s="4">
        <f t="shared" si="24"/>
        <v>0</v>
      </c>
      <c r="BW7" s="4">
        <f t="shared" si="25"/>
        <v>0</v>
      </c>
      <c r="BX7" s="4">
        <f t="shared" si="26"/>
        <v>0</v>
      </c>
      <c r="BY7" s="4">
        <f t="shared" si="27"/>
        <v>0</v>
      </c>
      <c r="BZ7" s="4">
        <f t="shared" si="28"/>
        <v>0</v>
      </c>
      <c r="CA7" s="4">
        <f t="shared" si="29"/>
        <v>0</v>
      </c>
      <c r="CB7" s="4">
        <f t="shared" si="30"/>
        <v>0</v>
      </c>
      <c r="CC7" s="4">
        <f t="shared" si="31"/>
        <v>0</v>
      </c>
      <c r="CD7" s="4">
        <f t="shared" si="32"/>
        <v>0</v>
      </c>
      <c r="CE7" s="4">
        <f t="shared" si="33"/>
        <v>0</v>
      </c>
      <c r="CF7" s="4">
        <f t="shared" si="34"/>
        <v>0</v>
      </c>
    </row>
    <row r="8" spans="1:84" s="3" customFormat="1" x14ac:dyDescent="0.2">
      <c r="A8" s="70"/>
      <c r="B8" s="64"/>
      <c r="C8" s="70" t="s">
        <v>92</v>
      </c>
      <c r="D8" s="70"/>
      <c r="E8" s="14"/>
      <c r="F8" s="19"/>
      <c r="G8" s="93">
        <f t="shared" si="35"/>
        <v>0</v>
      </c>
      <c r="H8" s="14"/>
      <c r="I8" s="19"/>
      <c r="J8" s="93">
        <f t="shared" ref="J8:J14" si="42">I8-H8</f>
        <v>0</v>
      </c>
      <c r="K8" s="14"/>
      <c r="L8" s="19"/>
      <c r="M8" s="93">
        <f t="shared" si="0"/>
        <v>0</v>
      </c>
      <c r="N8" s="14"/>
      <c r="O8" s="19"/>
      <c r="P8" s="93">
        <f t="shared" si="1"/>
        <v>0</v>
      </c>
      <c r="Q8" s="14"/>
      <c r="R8" s="19"/>
      <c r="S8" s="93">
        <f t="shared" si="2"/>
        <v>0</v>
      </c>
      <c r="T8" s="14"/>
      <c r="U8" s="19"/>
      <c r="V8" s="93">
        <f t="shared" si="3"/>
        <v>0</v>
      </c>
      <c r="W8" s="14"/>
      <c r="X8" s="19"/>
      <c r="Y8" s="93">
        <f t="shared" si="4"/>
        <v>0</v>
      </c>
      <c r="Z8" s="14"/>
      <c r="AA8" s="19"/>
      <c r="AB8" s="93">
        <f t="shared" si="5"/>
        <v>0</v>
      </c>
      <c r="AC8" s="14"/>
      <c r="AD8" s="19"/>
      <c r="AE8" s="93">
        <f t="shared" si="6"/>
        <v>0</v>
      </c>
      <c r="AF8" s="14"/>
      <c r="AG8" s="19"/>
      <c r="AH8" s="93">
        <f t="shared" si="7"/>
        <v>0</v>
      </c>
      <c r="AI8" s="14"/>
      <c r="AJ8" s="19"/>
      <c r="AK8" s="93">
        <f t="shared" si="8"/>
        <v>0</v>
      </c>
      <c r="AL8" s="14"/>
      <c r="AM8" s="19"/>
      <c r="AN8" s="93">
        <f t="shared" si="9"/>
        <v>0</v>
      </c>
      <c r="AO8" s="102">
        <f t="shared" si="10"/>
        <v>0</v>
      </c>
      <c r="AP8" s="95">
        <f t="shared" si="11"/>
        <v>0</v>
      </c>
      <c r="AQ8" s="96">
        <f t="shared" ref="AQ8:AQ14" si="43">AP8-AO8</f>
        <v>0</v>
      </c>
      <c r="AR8" s="6" t="str">
        <f t="shared" si="12"/>
        <v>LØNNINGER MV. I ALT</v>
      </c>
      <c r="AT8" s="9"/>
      <c r="AU8" s="37">
        <f t="shared" ref="AU8:AU14" si="44">INDEX(AW8:BH8,1,$I$1)</f>
        <v>0</v>
      </c>
      <c r="AV8" s="9">
        <f t="shared" ref="AV8:AV14" si="45">AU8-AT8</f>
        <v>0</v>
      </c>
      <c r="AW8" s="3">
        <f t="shared" ref="AW8:AW14" si="46">AL8+AI8+AF8+AC8+Z8+W8+T8+Q8+N8+K8+H8+F8</f>
        <v>0</v>
      </c>
      <c r="AX8" s="3">
        <f t="shared" ref="AX8:AX14" si="47">AL8+AI8+AF8+AC8+Z8+W8+T8+Q8+N8+K8+I8+F8</f>
        <v>0</v>
      </c>
      <c r="AY8" s="3">
        <f t="shared" ref="AY8:AY14" si="48">AL8+AI8+AF8+AC8+Z8+W8+T8+Q8+N8+L8+I8+F8</f>
        <v>0</v>
      </c>
      <c r="AZ8" s="3">
        <f t="shared" ref="AZ8:AZ14" si="49">AL8+AI8+AF8+AC8+Z8+W8+T8+Q8+O8+L8+I8+F8</f>
        <v>0</v>
      </c>
      <c r="BA8" s="3">
        <f t="shared" ref="BA8:BA14" si="50">AL8+AI8+AF8+AC8+Z8+W8+T8+R8+O8+L8+I8+F8</f>
        <v>0</v>
      </c>
      <c r="BB8" s="3">
        <f t="shared" ref="BB8:BB14" si="51">AL8+AI8+AF8+AC8+Z8+W8+U8+R8+O8+L8+I8+F8</f>
        <v>0</v>
      </c>
      <c r="BC8" s="3">
        <f t="shared" ref="BC8:BC14" si="52">AL8+AI8+AF8+AC8+Z8+X8+U8+R8+O8+L8+I8+F8</f>
        <v>0</v>
      </c>
      <c r="BD8" s="3">
        <f t="shared" ref="BD8:BD14" si="53">AL8+AI8+AF8+AC8+AA8+X8+U8+R8+O8+L8+I8+F8</f>
        <v>0</v>
      </c>
      <c r="BE8" s="3">
        <f t="shared" ref="BE8:BE14" si="54">AL8+AI8+AF8+AD8+AA8+X8+U8+R8+O8+L8+I8+F8</f>
        <v>0</v>
      </c>
      <c r="BF8" s="3">
        <f t="shared" ref="BF8:BF14" si="55">AL8+AI8+AG8+AD8+AA8+X8+U8+R8+O8+L8+I8+F8</f>
        <v>0</v>
      </c>
      <c r="BG8" s="3">
        <f t="shared" ref="BG8:BG14" si="56">AL8+AJ8+AG8+AD8+AA8+X8+U8+R8+O8+L8+I8+F8</f>
        <v>0</v>
      </c>
      <c r="BH8" s="3">
        <f t="shared" ref="BH8:BH14" si="57">AM8+AJ8+AG8+AD8+AA8+X8+U8+R8+O8+L8+I8+F8</f>
        <v>0</v>
      </c>
      <c r="BI8" s="3">
        <f t="shared" si="39"/>
        <v>0</v>
      </c>
      <c r="BJ8" s="3">
        <f t="shared" si="13"/>
        <v>0</v>
      </c>
      <c r="BK8" s="3">
        <f t="shared" si="14"/>
        <v>0</v>
      </c>
      <c r="BL8" s="3">
        <f t="shared" si="15"/>
        <v>0</v>
      </c>
      <c r="BM8" s="3">
        <f t="shared" si="16"/>
        <v>0</v>
      </c>
      <c r="BN8" s="3">
        <f t="shared" si="17"/>
        <v>0</v>
      </c>
      <c r="BO8" s="3">
        <f t="shared" si="18"/>
        <v>0</v>
      </c>
      <c r="BP8" s="3">
        <f t="shared" si="19"/>
        <v>0</v>
      </c>
      <c r="BQ8" s="3">
        <f t="shared" si="20"/>
        <v>0</v>
      </c>
      <c r="BR8" s="3">
        <f t="shared" si="21"/>
        <v>0</v>
      </c>
      <c r="BS8" s="3">
        <f t="shared" si="22"/>
        <v>0</v>
      </c>
      <c r="BT8" s="3">
        <f t="shared" si="23"/>
        <v>0</v>
      </c>
      <c r="BU8" s="3">
        <f t="shared" si="40"/>
        <v>0</v>
      </c>
      <c r="BV8" s="3">
        <f t="shared" si="24"/>
        <v>0</v>
      </c>
      <c r="BW8" s="3">
        <f t="shared" si="25"/>
        <v>0</v>
      </c>
      <c r="BX8" s="3">
        <f t="shared" si="26"/>
        <v>0</v>
      </c>
      <c r="BY8" s="3">
        <f t="shared" si="27"/>
        <v>0</v>
      </c>
      <c r="BZ8" s="3">
        <f t="shared" si="28"/>
        <v>0</v>
      </c>
      <c r="CA8" s="3">
        <f t="shared" si="29"/>
        <v>0</v>
      </c>
      <c r="CB8" s="3">
        <f t="shared" si="30"/>
        <v>0</v>
      </c>
      <c r="CC8" s="3">
        <f t="shared" si="31"/>
        <v>0</v>
      </c>
      <c r="CD8" s="3">
        <f t="shared" si="32"/>
        <v>0</v>
      </c>
      <c r="CE8" s="3">
        <f t="shared" si="33"/>
        <v>0</v>
      </c>
      <c r="CF8" s="3">
        <f t="shared" si="34"/>
        <v>0</v>
      </c>
    </row>
    <row r="9" spans="1:84" s="3" customFormat="1" x14ac:dyDescent="0.2">
      <c r="A9" s="70"/>
      <c r="B9" s="64"/>
      <c r="C9" s="70" t="s">
        <v>93</v>
      </c>
      <c r="D9" s="70" t="s">
        <v>3</v>
      </c>
      <c r="E9" s="14"/>
      <c r="F9" s="19"/>
      <c r="G9" s="93">
        <f t="shared" si="35"/>
        <v>0</v>
      </c>
      <c r="H9" s="14"/>
      <c r="I9" s="19"/>
      <c r="J9" s="93">
        <f t="shared" si="42"/>
        <v>0</v>
      </c>
      <c r="K9" s="14"/>
      <c r="L9" s="19"/>
      <c r="M9" s="93">
        <f t="shared" si="0"/>
        <v>0</v>
      </c>
      <c r="N9" s="14"/>
      <c r="O9" s="19"/>
      <c r="P9" s="93">
        <f t="shared" si="1"/>
        <v>0</v>
      </c>
      <c r="Q9" s="14"/>
      <c r="R9" s="19"/>
      <c r="S9" s="93">
        <f t="shared" si="2"/>
        <v>0</v>
      </c>
      <c r="T9" s="14"/>
      <c r="U9" s="19"/>
      <c r="V9" s="93">
        <f t="shared" si="3"/>
        <v>0</v>
      </c>
      <c r="W9" s="14"/>
      <c r="X9" s="19"/>
      <c r="Y9" s="93">
        <f t="shared" si="4"/>
        <v>0</v>
      </c>
      <c r="Z9" s="14"/>
      <c r="AA9" s="19"/>
      <c r="AB9" s="93">
        <f t="shared" si="5"/>
        <v>0</v>
      </c>
      <c r="AC9" s="14"/>
      <c r="AD9" s="19"/>
      <c r="AE9" s="93">
        <f t="shared" si="6"/>
        <v>0</v>
      </c>
      <c r="AF9" s="14"/>
      <c r="AG9" s="19"/>
      <c r="AH9" s="93">
        <f t="shared" si="7"/>
        <v>0</v>
      </c>
      <c r="AI9" s="14"/>
      <c r="AJ9" s="19"/>
      <c r="AK9" s="93">
        <f t="shared" si="8"/>
        <v>0</v>
      </c>
      <c r="AL9" s="14"/>
      <c r="AM9" s="19"/>
      <c r="AN9" s="93">
        <f t="shared" si="9"/>
        <v>0</v>
      </c>
      <c r="AO9" s="102">
        <f t="shared" si="10"/>
        <v>0</v>
      </c>
      <c r="AP9" s="95">
        <f t="shared" si="11"/>
        <v>0</v>
      </c>
      <c r="AQ9" s="96">
        <f t="shared" si="43"/>
        <v>0</v>
      </c>
      <c r="AR9" s="6" t="str">
        <f t="shared" si="12"/>
        <v>SALGSOMKOSTNINGER</v>
      </c>
      <c r="AT9" s="9"/>
      <c r="AU9" s="37">
        <f t="shared" si="44"/>
        <v>0</v>
      </c>
      <c r="AV9" s="9">
        <f t="shared" si="45"/>
        <v>0</v>
      </c>
      <c r="AW9" s="3">
        <f t="shared" si="46"/>
        <v>0</v>
      </c>
      <c r="AX9" s="3">
        <f t="shared" si="47"/>
        <v>0</v>
      </c>
      <c r="AY9" s="3">
        <f t="shared" si="48"/>
        <v>0</v>
      </c>
      <c r="AZ9" s="3">
        <f t="shared" si="49"/>
        <v>0</v>
      </c>
      <c r="BA9" s="3">
        <f t="shared" si="50"/>
        <v>0</v>
      </c>
      <c r="BB9" s="3">
        <f t="shared" si="51"/>
        <v>0</v>
      </c>
      <c r="BC9" s="3">
        <f t="shared" si="52"/>
        <v>0</v>
      </c>
      <c r="BD9" s="3">
        <f t="shared" si="53"/>
        <v>0</v>
      </c>
      <c r="BE9" s="3">
        <f t="shared" si="54"/>
        <v>0</v>
      </c>
      <c r="BF9" s="3">
        <f t="shared" si="55"/>
        <v>0</v>
      </c>
      <c r="BG9" s="3">
        <f t="shared" si="56"/>
        <v>0</v>
      </c>
      <c r="BH9" s="3">
        <f t="shared" si="57"/>
        <v>0</v>
      </c>
      <c r="BI9" s="3">
        <f t="shared" si="39"/>
        <v>0</v>
      </c>
      <c r="BJ9" s="3">
        <f t="shared" si="13"/>
        <v>0</v>
      </c>
      <c r="BK9" s="3">
        <f t="shared" si="14"/>
        <v>0</v>
      </c>
      <c r="BL9" s="3">
        <f t="shared" si="15"/>
        <v>0</v>
      </c>
      <c r="BM9" s="3">
        <f t="shared" si="16"/>
        <v>0</v>
      </c>
      <c r="BN9" s="3">
        <f t="shared" si="17"/>
        <v>0</v>
      </c>
      <c r="BO9" s="3">
        <f t="shared" si="18"/>
        <v>0</v>
      </c>
      <c r="BP9" s="3">
        <f t="shared" si="19"/>
        <v>0</v>
      </c>
      <c r="BQ9" s="3">
        <f t="shared" si="20"/>
        <v>0</v>
      </c>
      <c r="BR9" s="3">
        <f t="shared" si="21"/>
        <v>0</v>
      </c>
      <c r="BS9" s="3">
        <f t="shared" si="22"/>
        <v>0</v>
      </c>
      <c r="BT9" s="3">
        <f t="shared" si="23"/>
        <v>0</v>
      </c>
      <c r="BU9" s="3">
        <f t="shared" si="40"/>
        <v>0</v>
      </c>
      <c r="BV9" s="3">
        <f t="shared" si="24"/>
        <v>0</v>
      </c>
      <c r="BW9" s="3">
        <f t="shared" si="25"/>
        <v>0</v>
      </c>
      <c r="BX9" s="3">
        <f t="shared" si="26"/>
        <v>0</v>
      </c>
      <c r="BY9" s="3">
        <f t="shared" si="27"/>
        <v>0</v>
      </c>
      <c r="BZ9" s="3">
        <f t="shared" si="28"/>
        <v>0</v>
      </c>
      <c r="CA9" s="3">
        <f t="shared" si="29"/>
        <v>0</v>
      </c>
      <c r="CB9" s="3">
        <f t="shared" si="30"/>
        <v>0</v>
      </c>
      <c r="CC9" s="3">
        <f t="shared" si="31"/>
        <v>0</v>
      </c>
      <c r="CD9" s="3">
        <f t="shared" si="32"/>
        <v>0</v>
      </c>
      <c r="CE9" s="3">
        <f t="shared" si="33"/>
        <v>0</v>
      </c>
      <c r="CF9" s="3">
        <f t="shared" si="34"/>
        <v>0</v>
      </c>
    </row>
    <row r="10" spans="1:84" s="3" customFormat="1" x14ac:dyDescent="0.2">
      <c r="A10" s="70"/>
      <c r="B10" s="64"/>
      <c r="C10" s="70" t="s">
        <v>94</v>
      </c>
      <c r="D10" s="70" t="s">
        <v>3</v>
      </c>
      <c r="E10" s="14"/>
      <c r="F10" s="19"/>
      <c r="G10" s="93">
        <f t="shared" si="35"/>
        <v>0</v>
      </c>
      <c r="H10" s="14"/>
      <c r="I10" s="19"/>
      <c r="J10" s="93">
        <f t="shared" si="42"/>
        <v>0</v>
      </c>
      <c r="K10" s="14"/>
      <c r="L10" s="19"/>
      <c r="M10" s="93">
        <f t="shared" si="0"/>
        <v>0</v>
      </c>
      <c r="N10" s="14"/>
      <c r="O10" s="19"/>
      <c r="P10" s="93">
        <f t="shared" si="1"/>
        <v>0</v>
      </c>
      <c r="Q10" s="14"/>
      <c r="R10" s="19"/>
      <c r="S10" s="93">
        <f t="shared" si="2"/>
        <v>0</v>
      </c>
      <c r="T10" s="14"/>
      <c r="U10" s="19"/>
      <c r="V10" s="93">
        <f t="shared" si="3"/>
        <v>0</v>
      </c>
      <c r="W10" s="14"/>
      <c r="X10" s="19"/>
      <c r="Y10" s="93">
        <f t="shared" si="4"/>
        <v>0</v>
      </c>
      <c r="Z10" s="14"/>
      <c r="AA10" s="19"/>
      <c r="AB10" s="93">
        <f t="shared" si="5"/>
        <v>0</v>
      </c>
      <c r="AC10" s="14"/>
      <c r="AD10" s="19"/>
      <c r="AE10" s="93">
        <f t="shared" si="6"/>
        <v>0</v>
      </c>
      <c r="AF10" s="14"/>
      <c r="AG10" s="19"/>
      <c r="AH10" s="93">
        <f t="shared" si="7"/>
        <v>0</v>
      </c>
      <c r="AI10" s="14"/>
      <c r="AJ10" s="19"/>
      <c r="AK10" s="93">
        <f t="shared" si="8"/>
        <v>0</v>
      </c>
      <c r="AL10" s="14"/>
      <c r="AM10" s="19"/>
      <c r="AN10" s="93">
        <f t="shared" si="9"/>
        <v>0</v>
      </c>
      <c r="AO10" s="102">
        <f t="shared" si="10"/>
        <v>0</v>
      </c>
      <c r="AP10" s="95">
        <f t="shared" si="11"/>
        <v>0</v>
      </c>
      <c r="AQ10" s="96">
        <f t="shared" si="43"/>
        <v>0</v>
      </c>
      <c r="AR10" s="6" t="str">
        <f t="shared" si="12"/>
        <v>LOKALEOMKOSTNINGER</v>
      </c>
      <c r="AT10" s="9"/>
      <c r="AU10" s="37">
        <f t="shared" si="44"/>
        <v>0</v>
      </c>
      <c r="AV10" s="9">
        <f t="shared" si="45"/>
        <v>0</v>
      </c>
      <c r="AW10" s="3">
        <f t="shared" si="46"/>
        <v>0</v>
      </c>
      <c r="AX10" s="3">
        <f t="shared" si="47"/>
        <v>0</v>
      </c>
      <c r="AY10" s="3">
        <f t="shared" si="48"/>
        <v>0</v>
      </c>
      <c r="AZ10" s="3">
        <f t="shared" si="49"/>
        <v>0</v>
      </c>
      <c r="BA10" s="3">
        <f t="shared" si="50"/>
        <v>0</v>
      </c>
      <c r="BB10" s="3">
        <f t="shared" si="51"/>
        <v>0</v>
      </c>
      <c r="BC10" s="3">
        <f t="shared" si="52"/>
        <v>0</v>
      </c>
      <c r="BD10" s="3">
        <f t="shared" si="53"/>
        <v>0</v>
      </c>
      <c r="BE10" s="3">
        <f t="shared" si="54"/>
        <v>0</v>
      </c>
      <c r="BF10" s="3">
        <f t="shared" si="55"/>
        <v>0</v>
      </c>
      <c r="BG10" s="3">
        <f t="shared" si="56"/>
        <v>0</v>
      </c>
      <c r="BH10" s="3">
        <f t="shared" si="57"/>
        <v>0</v>
      </c>
      <c r="BI10" s="3">
        <f t="shared" si="39"/>
        <v>0</v>
      </c>
      <c r="BJ10" s="3">
        <f t="shared" si="13"/>
        <v>0</v>
      </c>
      <c r="BK10" s="3">
        <f t="shared" si="14"/>
        <v>0</v>
      </c>
      <c r="BL10" s="3">
        <f t="shared" si="15"/>
        <v>0</v>
      </c>
      <c r="BM10" s="3">
        <f t="shared" si="16"/>
        <v>0</v>
      </c>
      <c r="BN10" s="3">
        <f t="shared" si="17"/>
        <v>0</v>
      </c>
      <c r="BO10" s="3">
        <f t="shared" si="18"/>
        <v>0</v>
      </c>
      <c r="BP10" s="3">
        <f t="shared" si="19"/>
        <v>0</v>
      </c>
      <c r="BQ10" s="3">
        <f t="shared" si="20"/>
        <v>0</v>
      </c>
      <c r="BR10" s="3">
        <f t="shared" si="21"/>
        <v>0</v>
      </c>
      <c r="BS10" s="3">
        <f t="shared" si="22"/>
        <v>0</v>
      </c>
      <c r="BT10" s="3">
        <f t="shared" si="23"/>
        <v>0</v>
      </c>
      <c r="BU10" s="3">
        <f t="shared" si="40"/>
        <v>0</v>
      </c>
      <c r="BV10" s="3">
        <f t="shared" si="24"/>
        <v>0</v>
      </c>
      <c r="BW10" s="3">
        <f t="shared" si="25"/>
        <v>0</v>
      </c>
      <c r="BX10" s="3">
        <f t="shared" si="26"/>
        <v>0</v>
      </c>
      <c r="BY10" s="3">
        <f t="shared" si="27"/>
        <v>0</v>
      </c>
      <c r="BZ10" s="3">
        <f t="shared" si="28"/>
        <v>0</v>
      </c>
      <c r="CA10" s="3">
        <f t="shared" si="29"/>
        <v>0</v>
      </c>
      <c r="CB10" s="3">
        <f t="shared" si="30"/>
        <v>0</v>
      </c>
      <c r="CC10" s="3">
        <f t="shared" si="31"/>
        <v>0</v>
      </c>
      <c r="CD10" s="3">
        <f t="shared" si="32"/>
        <v>0</v>
      </c>
      <c r="CE10" s="3">
        <f t="shared" si="33"/>
        <v>0</v>
      </c>
      <c r="CF10" s="3">
        <f t="shared" si="34"/>
        <v>0</v>
      </c>
    </row>
    <row r="11" spans="1:84" s="3" customFormat="1" x14ac:dyDescent="0.2">
      <c r="A11" s="70"/>
      <c r="B11" s="64"/>
      <c r="C11" s="70" t="s">
        <v>95</v>
      </c>
      <c r="D11" s="70" t="s">
        <v>3</v>
      </c>
      <c r="E11" s="14"/>
      <c r="F11" s="19"/>
      <c r="G11" s="93">
        <f t="shared" si="35"/>
        <v>0</v>
      </c>
      <c r="H11" s="14"/>
      <c r="I11" s="19"/>
      <c r="J11" s="93">
        <f t="shared" si="42"/>
        <v>0</v>
      </c>
      <c r="K11" s="14"/>
      <c r="L11" s="19"/>
      <c r="M11" s="93">
        <f t="shared" si="0"/>
        <v>0</v>
      </c>
      <c r="N11" s="14"/>
      <c r="O11" s="19"/>
      <c r="P11" s="93">
        <f t="shared" si="1"/>
        <v>0</v>
      </c>
      <c r="Q11" s="14"/>
      <c r="R11" s="19"/>
      <c r="S11" s="93">
        <f t="shared" si="2"/>
        <v>0</v>
      </c>
      <c r="T11" s="14"/>
      <c r="U11" s="19"/>
      <c r="V11" s="93">
        <f t="shared" si="3"/>
        <v>0</v>
      </c>
      <c r="W11" s="14"/>
      <c r="X11" s="19"/>
      <c r="Y11" s="93">
        <f t="shared" si="4"/>
        <v>0</v>
      </c>
      <c r="Z11" s="14"/>
      <c r="AA11" s="19"/>
      <c r="AB11" s="93">
        <f t="shared" si="5"/>
        <v>0</v>
      </c>
      <c r="AC11" s="14"/>
      <c r="AD11" s="19"/>
      <c r="AE11" s="93">
        <f t="shared" si="6"/>
        <v>0</v>
      </c>
      <c r="AF11" s="14"/>
      <c r="AG11" s="19"/>
      <c r="AH11" s="93">
        <f t="shared" si="7"/>
        <v>0</v>
      </c>
      <c r="AI11" s="14"/>
      <c r="AJ11" s="19"/>
      <c r="AK11" s="93">
        <f t="shared" si="8"/>
        <v>0</v>
      </c>
      <c r="AL11" s="14"/>
      <c r="AM11" s="19"/>
      <c r="AN11" s="93">
        <f t="shared" si="9"/>
        <v>0</v>
      </c>
      <c r="AO11" s="102">
        <f t="shared" si="10"/>
        <v>0</v>
      </c>
      <c r="AP11" s="95">
        <f t="shared" si="11"/>
        <v>0</v>
      </c>
      <c r="AQ11" s="96">
        <f t="shared" si="43"/>
        <v>0</v>
      </c>
      <c r="AR11" s="6" t="str">
        <f t="shared" si="12"/>
        <v>TRANSPORTOMKOSTNINGER</v>
      </c>
      <c r="AT11" s="9"/>
      <c r="AU11" s="37">
        <f t="shared" si="44"/>
        <v>0</v>
      </c>
      <c r="AV11" s="9">
        <f t="shared" si="45"/>
        <v>0</v>
      </c>
      <c r="AW11" s="3">
        <f t="shared" si="46"/>
        <v>0</v>
      </c>
      <c r="AX11" s="3">
        <f t="shared" si="47"/>
        <v>0</v>
      </c>
      <c r="AY11" s="3">
        <f t="shared" si="48"/>
        <v>0</v>
      </c>
      <c r="AZ11" s="3">
        <f t="shared" si="49"/>
        <v>0</v>
      </c>
      <c r="BA11" s="3">
        <f t="shared" si="50"/>
        <v>0</v>
      </c>
      <c r="BB11" s="3">
        <f t="shared" si="51"/>
        <v>0</v>
      </c>
      <c r="BC11" s="3">
        <f t="shared" si="52"/>
        <v>0</v>
      </c>
      <c r="BD11" s="3">
        <f t="shared" si="53"/>
        <v>0</v>
      </c>
      <c r="BE11" s="3">
        <f t="shared" si="54"/>
        <v>0</v>
      </c>
      <c r="BF11" s="3">
        <f t="shared" si="55"/>
        <v>0</v>
      </c>
      <c r="BG11" s="3">
        <f t="shared" si="56"/>
        <v>0</v>
      </c>
      <c r="BH11" s="3">
        <f t="shared" si="57"/>
        <v>0</v>
      </c>
      <c r="BI11" s="3">
        <f t="shared" si="39"/>
        <v>0</v>
      </c>
      <c r="BJ11" s="3">
        <f t="shared" si="13"/>
        <v>0</v>
      </c>
      <c r="BK11" s="3">
        <f t="shared" si="14"/>
        <v>0</v>
      </c>
      <c r="BL11" s="3">
        <f t="shared" si="15"/>
        <v>0</v>
      </c>
      <c r="BM11" s="3">
        <f t="shared" si="16"/>
        <v>0</v>
      </c>
      <c r="BN11" s="3">
        <f t="shared" si="17"/>
        <v>0</v>
      </c>
      <c r="BO11" s="3">
        <f t="shared" si="18"/>
        <v>0</v>
      </c>
      <c r="BP11" s="3">
        <f t="shared" si="19"/>
        <v>0</v>
      </c>
      <c r="BQ11" s="3">
        <f t="shared" si="20"/>
        <v>0</v>
      </c>
      <c r="BR11" s="3">
        <f t="shared" si="21"/>
        <v>0</v>
      </c>
      <c r="BS11" s="3">
        <f t="shared" si="22"/>
        <v>0</v>
      </c>
      <c r="BT11" s="3">
        <f t="shared" si="23"/>
        <v>0</v>
      </c>
      <c r="BU11" s="3">
        <f t="shared" si="40"/>
        <v>0</v>
      </c>
      <c r="BV11" s="3">
        <f t="shared" si="24"/>
        <v>0</v>
      </c>
      <c r="BW11" s="3">
        <f t="shared" si="25"/>
        <v>0</v>
      </c>
      <c r="BX11" s="3">
        <f t="shared" si="26"/>
        <v>0</v>
      </c>
      <c r="BY11" s="3">
        <f t="shared" si="27"/>
        <v>0</v>
      </c>
      <c r="BZ11" s="3">
        <f t="shared" si="28"/>
        <v>0</v>
      </c>
      <c r="CA11" s="3">
        <f t="shared" si="29"/>
        <v>0</v>
      </c>
      <c r="CB11" s="3">
        <f t="shared" si="30"/>
        <v>0</v>
      </c>
      <c r="CC11" s="3">
        <f t="shared" si="31"/>
        <v>0</v>
      </c>
      <c r="CD11" s="3">
        <f t="shared" si="32"/>
        <v>0</v>
      </c>
      <c r="CE11" s="3">
        <f t="shared" si="33"/>
        <v>0</v>
      </c>
      <c r="CF11" s="3">
        <f t="shared" si="34"/>
        <v>0</v>
      </c>
    </row>
    <row r="12" spans="1:84" s="3" customFormat="1" x14ac:dyDescent="0.2">
      <c r="A12" s="70"/>
      <c r="B12" s="64"/>
      <c r="C12" s="70" t="s">
        <v>96</v>
      </c>
      <c r="D12" s="70" t="s">
        <v>3</v>
      </c>
      <c r="E12" s="14"/>
      <c r="F12" s="19"/>
      <c r="G12" s="93">
        <f t="shared" si="35"/>
        <v>0</v>
      </c>
      <c r="H12" s="14"/>
      <c r="I12" s="19"/>
      <c r="J12" s="93">
        <f t="shared" si="42"/>
        <v>0</v>
      </c>
      <c r="K12" s="14"/>
      <c r="L12" s="19"/>
      <c r="M12" s="93">
        <f t="shared" si="0"/>
        <v>0</v>
      </c>
      <c r="N12" s="14"/>
      <c r="O12" s="19"/>
      <c r="P12" s="93">
        <f t="shared" si="1"/>
        <v>0</v>
      </c>
      <c r="Q12" s="14"/>
      <c r="R12" s="19"/>
      <c r="S12" s="93">
        <f t="shared" si="2"/>
        <v>0</v>
      </c>
      <c r="T12" s="14"/>
      <c r="U12" s="19"/>
      <c r="V12" s="93">
        <f t="shared" si="3"/>
        <v>0</v>
      </c>
      <c r="W12" s="14"/>
      <c r="X12" s="19"/>
      <c r="Y12" s="93">
        <f t="shared" si="4"/>
        <v>0</v>
      </c>
      <c r="Z12" s="14"/>
      <c r="AA12" s="19"/>
      <c r="AB12" s="93">
        <f t="shared" si="5"/>
        <v>0</v>
      </c>
      <c r="AC12" s="14"/>
      <c r="AD12" s="19"/>
      <c r="AE12" s="93">
        <f t="shared" si="6"/>
        <v>0</v>
      </c>
      <c r="AF12" s="14"/>
      <c r="AG12" s="19"/>
      <c r="AH12" s="93">
        <f t="shared" si="7"/>
        <v>0</v>
      </c>
      <c r="AI12" s="14"/>
      <c r="AJ12" s="19"/>
      <c r="AK12" s="93">
        <f t="shared" si="8"/>
        <v>0</v>
      </c>
      <c r="AL12" s="14"/>
      <c r="AM12" s="19"/>
      <c r="AN12" s="93">
        <f t="shared" si="9"/>
        <v>0</v>
      </c>
      <c r="AO12" s="102">
        <f t="shared" si="10"/>
        <v>0</v>
      </c>
      <c r="AP12" s="95">
        <f t="shared" si="11"/>
        <v>0</v>
      </c>
      <c r="AQ12" s="96">
        <f t="shared" si="43"/>
        <v>0</v>
      </c>
      <c r="AR12" s="6" t="str">
        <f t="shared" si="12"/>
        <v>ADMINISTRATION</v>
      </c>
      <c r="AT12" s="9"/>
      <c r="AU12" s="37">
        <f t="shared" si="44"/>
        <v>0</v>
      </c>
      <c r="AV12" s="9">
        <f t="shared" si="45"/>
        <v>0</v>
      </c>
      <c r="AW12" s="3">
        <f t="shared" si="46"/>
        <v>0</v>
      </c>
      <c r="AX12" s="3">
        <f t="shared" si="47"/>
        <v>0</v>
      </c>
      <c r="AY12" s="3">
        <f t="shared" si="48"/>
        <v>0</v>
      </c>
      <c r="AZ12" s="3">
        <f t="shared" si="49"/>
        <v>0</v>
      </c>
      <c r="BA12" s="3">
        <f t="shared" si="50"/>
        <v>0</v>
      </c>
      <c r="BB12" s="3">
        <f t="shared" si="51"/>
        <v>0</v>
      </c>
      <c r="BC12" s="3">
        <f t="shared" si="52"/>
        <v>0</v>
      </c>
      <c r="BD12" s="3">
        <f t="shared" si="53"/>
        <v>0</v>
      </c>
      <c r="BE12" s="3">
        <f t="shared" si="54"/>
        <v>0</v>
      </c>
      <c r="BF12" s="3">
        <f t="shared" si="55"/>
        <v>0</v>
      </c>
      <c r="BG12" s="3">
        <f t="shared" si="56"/>
        <v>0</v>
      </c>
      <c r="BH12" s="3">
        <f t="shared" si="57"/>
        <v>0</v>
      </c>
      <c r="BI12" s="3">
        <f t="shared" si="39"/>
        <v>0</v>
      </c>
      <c r="BJ12" s="3">
        <f t="shared" si="13"/>
        <v>0</v>
      </c>
      <c r="BK12" s="3">
        <f t="shared" si="14"/>
        <v>0</v>
      </c>
      <c r="BL12" s="3">
        <f t="shared" si="15"/>
        <v>0</v>
      </c>
      <c r="BM12" s="3">
        <f t="shared" si="16"/>
        <v>0</v>
      </c>
      <c r="BN12" s="3">
        <f t="shared" si="17"/>
        <v>0</v>
      </c>
      <c r="BO12" s="3">
        <f t="shared" si="18"/>
        <v>0</v>
      </c>
      <c r="BP12" s="3">
        <f t="shared" si="19"/>
        <v>0</v>
      </c>
      <c r="BQ12" s="3">
        <f t="shared" si="20"/>
        <v>0</v>
      </c>
      <c r="BR12" s="3">
        <f t="shared" si="21"/>
        <v>0</v>
      </c>
      <c r="BS12" s="3">
        <f t="shared" si="22"/>
        <v>0</v>
      </c>
      <c r="BT12" s="3">
        <f t="shared" si="23"/>
        <v>0</v>
      </c>
      <c r="BU12" s="3">
        <f t="shared" si="40"/>
        <v>0</v>
      </c>
      <c r="BV12" s="3">
        <f t="shared" si="24"/>
        <v>0</v>
      </c>
      <c r="BW12" s="3">
        <f t="shared" si="25"/>
        <v>0</v>
      </c>
      <c r="BX12" s="3">
        <f t="shared" si="26"/>
        <v>0</v>
      </c>
      <c r="BY12" s="3">
        <f t="shared" si="27"/>
        <v>0</v>
      </c>
      <c r="BZ12" s="3">
        <f t="shared" si="28"/>
        <v>0</v>
      </c>
      <c r="CA12" s="3">
        <f t="shared" si="29"/>
        <v>0</v>
      </c>
      <c r="CB12" s="3">
        <f t="shared" si="30"/>
        <v>0</v>
      </c>
      <c r="CC12" s="3">
        <f t="shared" si="31"/>
        <v>0</v>
      </c>
      <c r="CD12" s="3">
        <f t="shared" si="32"/>
        <v>0</v>
      </c>
      <c r="CE12" s="3">
        <f t="shared" si="33"/>
        <v>0</v>
      </c>
      <c r="CF12" s="3">
        <f t="shared" si="34"/>
        <v>0</v>
      </c>
    </row>
    <row r="13" spans="1:84" s="3" customFormat="1" x14ac:dyDescent="0.2">
      <c r="A13" s="70"/>
      <c r="B13" s="64"/>
      <c r="C13" s="70" t="s">
        <v>97</v>
      </c>
      <c r="D13" s="70" t="s">
        <v>3</v>
      </c>
      <c r="E13" s="14"/>
      <c r="F13" s="19"/>
      <c r="G13" s="93">
        <f t="shared" si="35"/>
        <v>0</v>
      </c>
      <c r="H13" s="14"/>
      <c r="I13" s="19"/>
      <c r="J13" s="93">
        <f t="shared" si="42"/>
        <v>0</v>
      </c>
      <c r="K13" s="14"/>
      <c r="L13" s="19"/>
      <c r="M13" s="93">
        <f t="shared" si="0"/>
        <v>0</v>
      </c>
      <c r="N13" s="14"/>
      <c r="O13" s="19"/>
      <c r="P13" s="93">
        <f t="shared" si="1"/>
        <v>0</v>
      </c>
      <c r="Q13" s="14"/>
      <c r="R13" s="19"/>
      <c r="S13" s="93">
        <f t="shared" si="2"/>
        <v>0</v>
      </c>
      <c r="T13" s="14"/>
      <c r="U13" s="19"/>
      <c r="V13" s="93">
        <f t="shared" si="3"/>
        <v>0</v>
      </c>
      <c r="W13" s="14"/>
      <c r="X13" s="19"/>
      <c r="Y13" s="93">
        <f t="shared" si="4"/>
        <v>0</v>
      </c>
      <c r="Z13" s="14"/>
      <c r="AA13" s="19"/>
      <c r="AB13" s="93">
        <f t="shared" si="5"/>
        <v>0</v>
      </c>
      <c r="AC13" s="14"/>
      <c r="AD13" s="19"/>
      <c r="AE13" s="93">
        <f t="shared" si="6"/>
        <v>0</v>
      </c>
      <c r="AF13" s="14"/>
      <c r="AG13" s="19"/>
      <c r="AH13" s="93">
        <f t="shared" si="7"/>
        <v>0</v>
      </c>
      <c r="AI13" s="14"/>
      <c r="AJ13" s="19"/>
      <c r="AK13" s="93">
        <f t="shared" si="8"/>
        <v>0</v>
      </c>
      <c r="AL13" s="14"/>
      <c r="AM13" s="19"/>
      <c r="AN13" s="93">
        <f t="shared" si="9"/>
        <v>0</v>
      </c>
      <c r="AO13" s="102">
        <f t="shared" si="10"/>
        <v>0</v>
      </c>
      <c r="AP13" s="95">
        <f t="shared" si="11"/>
        <v>0</v>
      </c>
      <c r="AQ13" s="96">
        <f t="shared" si="43"/>
        <v>0</v>
      </c>
      <c r="AR13" s="6" t="str">
        <f t="shared" si="12"/>
        <v>AFSKRIVNINGER (Småanskaffelser)</v>
      </c>
      <c r="AT13" s="9"/>
      <c r="AU13" s="37">
        <f t="shared" si="44"/>
        <v>0</v>
      </c>
      <c r="AV13" s="9">
        <f t="shared" si="45"/>
        <v>0</v>
      </c>
      <c r="AW13" s="3">
        <f t="shared" si="46"/>
        <v>0</v>
      </c>
      <c r="AX13" s="3">
        <f t="shared" si="47"/>
        <v>0</v>
      </c>
      <c r="AY13" s="3">
        <f t="shared" si="48"/>
        <v>0</v>
      </c>
      <c r="AZ13" s="3">
        <f t="shared" si="49"/>
        <v>0</v>
      </c>
      <c r="BA13" s="3">
        <f t="shared" si="50"/>
        <v>0</v>
      </c>
      <c r="BB13" s="3">
        <f t="shared" si="51"/>
        <v>0</v>
      </c>
      <c r="BC13" s="3">
        <f t="shared" si="52"/>
        <v>0</v>
      </c>
      <c r="BD13" s="3">
        <f t="shared" si="53"/>
        <v>0</v>
      </c>
      <c r="BE13" s="3">
        <f t="shared" si="54"/>
        <v>0</v>
      </c>
      <c r="BF13" s="3">
        <f t="shared" si="55"/>
        <v>0</v>
      </c>
      <c r="BG13" s="3">
        <f t="shared" si="56"/>
        <v>0</v>
      </c>
      <c r="BH13" s="3">
        <f t="shared" si="57"/>
        <v>0</v>
      </c>
      <c r="BI13" s="3">
        <f t="shared" si="39"/>
        <v>0</v>
      </c>
      <c r="BJ13" s="3">
        <f t="shared" si="13"/>
        <v>0</v>
      </c>
      <c r="BK13" s="3">
        <f t="shared" si="14"/>
        <v>0</v>
      </c>
      <c r="BL13" s="3">
        <f t="shared" si="15"/>
        <v>0</v>
      </c>
      <c r="BM13" s="3">
        <f t="shared" si="16"/>
        <v>0</v>
      </c>
      <c r="BN13" s="3">
        <f t="shared" si="17"/>
        <v>0</v>
      </c>
      <c r="BO13" s="3">
        <f t="shared" si="18"/>
        <v>0</v>
      </c>
      <c r="BP13" s="3">
        <f t="shared" si="19"/>
        <v>0</v>
      </c>
      <c r="BQ13" s="3">
        <f t="shared" si="20"/>
        <v>0</v>
      </c>
      <c r="BR13" s="3">
        <f t="shared" si="21"/>
        <v>0</v>
      </c>
      <c r="BS13" s="3">
        <f t="shared" si="22"/>
        <v>0</v>
      </c>
      <c r="BT13" s="3">
        <f t="shared" si="23"/>
        <v>0</v>
      </c>
      <c r="BU13" s="3">
        <f t="shared" si="40"/>
        <v>0</v>
      </c>
      <c r="BV13" s="3">
        <f t="shared" si="24"/>
        <v>0</v>
      </c>
      <c r="BW13" s="3">
        <f t="shared" si="25"/>
        <v>0</v>
      </c>
      <c r="BX13" s="3">
        <f t="shared" si="26"/>
        <v>0</v>
      </c>
      <c r="BY13" s="3">
        <f t="shared" si="27"/>
        <v>0</v>
      </c>
      <c r="BZ13" s="3">
        <f t="shared" si="28"/>
        <v>0</v>
      </c>
      <c r="CA13" s="3">
        <f t="shared" si="29"/>
        <v>0</v>
      </c>
      <c r="CB13" s="3">
        <f t="shared" si="30"/>
        <v>0</v>
      </c>
      <c r="CC13" s="3">
        <f t="shared" si="31"/>
        <v>0</v>
      </c>
      <c r="CD13" s="3">
        <f t="shared" si="32"/>
        <v>0</v>
      </c>
      <c r="CE13" s="3">
        <f t="shared" si="33"/>
        <v>0</v>
      </c>
      <c r="CF13" s="3">
        <f t="shared" si="34"/>
        <v>0</v>
      </c>
    </row>
    <row r="14" spans="1:84" s="3" customFormat="1" x14ac:dyDescent="0.2">
      <c r="A14" s="70"/>
      <c r="B14" s="64"/>
      <c r="C14" s="70" t="s">
        <v>98</v>
      </c>
      <c r="D14" s="70"/>
      <c r="E14" s="14"/>
      <c r="F14" s="19"/>
      <c r="G14" s="93">
        <f t="shared" si="35"/>
        <v>0</v>
      </c>
      <c r="H14" s="14"/>
      <c r="I14" s="19"/>
      <c r="J14" s="93">
        <f t="shared" si="42"/>
        <v>0</v>
      </c>
      <c r="K14" s="14"/>
      <c r="L14" s="19"/>
      <c r="M14" s="93">
        <f t="shared" si="0"/>
        <v>0</v>
      </c>
      <c r="N14" s="14"/>
      <c r="O14" s="19"/>
      <c r="P14" s="93">
        <f t="shared" si="1"/>
        <v>0</v>
      </c>
      <c r="Q14" s="14"/>
      <c r="R14" s="19"/>
      <c r="S14" s="93">
        <f t="shared" si="2"/>
        <v>0</v>
      </c>
      <c r="T14" s="14"/>
      <c r="U14" s="19"/>
      <c r="V14" s="93">
        <f t="shared" si="3"/>
        <v>0</v>
      </c>
      <c r="W14" s="14"/>
      <c r="X14" s="19"/>
      <c r="Y14" s="93">
        <f t="shared" si="4"/>
        <v>0</v>
      </c>
      <c r="Z14" s="14"/>
      <c r="AA14" s="19"/>
      <c r="AB14" s="93">
        <f t="shared" si="5"/>
        <v>0</v>
      </c>
      <c r="AC14" s="14"/>
      <c r="AD14" s="19"/>
      <c r="AE14" s="93">
        <f t="shared" si="6"/>
        <v>0</v>
      </c>
      <c r="AF14" s="14"/>
      <c r="AG14" s="19"/>
      <c r="AH14" s="93">
        <f t="shared" si="7"/>
        <v>0</v>
      </c>
      <c r="AI14" s="14"/>
      <c r="AJ14" s="19"/>
      <c r="AK14" s="93">
        <f t="shared" si="8"/>
        <v>0</v>
      </c>
      <c r="AL14" s="14"/>
      <c r="AM14" s="19"/>
      <c r="AN14" s="93">
        <f t="shared" si="9"/>
        <v>0</v>
      </c>
      <c r="AO14" s="102">
        <f t="shared" si="10"/>
        <v>0</v>
      </c>
      <c r="AP14" s="95">
        <f t="shared" si="11"/>
        <v>0</v>
      </c>
      <c r="AQ14" s="96">
        <f t="shared" si="43"/>
        <v>0</v>
      </c>
      <c r="AR14" s="6" t="str">
        <f t="shared" si="12"/>
        <v>RENTEUDGIFTER</v>
      </c>
      <c r="AT14" s="9"/>
      <c r="AU14" s="37">
        <f t="shared" si="44"/>
        <v>0</v>
      </c>
      <c r="AV14" s="9">
        <f t="shared" si="45"/>
        <v>0</v>
      </c>
      <c r="AW14" s="3">
        <f t="shared" si="46"/>
        <v>0</v>
      </c>
      <c r="AX14" s="3">
        <f t="shared" si="47"/>
        <v>0</v>
      </c>
      <c r="AY14" s="3">
        <f t="shared" si="48"/>
        <v>0</v>
      </c>
      <c r="AZ14" s="3">
        <f t="shared" si="49"/>
        <v>0</v>
      </c>
      <c r="BA14" s="3">
        <f t="shared" si="50"/>
        <v>0</v>
      </c>
      <c r="BB14" s="3">
        <f t="shared" si="51"/>
        <v>0</v>
      </c>
      <c r="BC14" s="3">
        <f t="shared" si="52"/>
        <v>0</v>
      </c>
      <c r="BD14" s="3">
        <f t="shared" si="53"/>
        <v>0</v>
      </c>
      <c r="BE14" s="3">
        <f t="shared" si="54"/>
        <v>0</v>
      </c>
      <c r="BF14" s="3">
        <f t="shared" si="55"/>
        <v>0</v>
      </c>
      <c r="BG14" s="3">
        <f t="shared" si="56"/>
        <v>0</v>
      </c>
      <c r="BH14" s="3">
        <f t="shared" si="57"/>
        <v>0</v>
      </c>
      <c r="BI14" s="3">
        <f t="shared" si="39"/>
        <v>0</v>
      </c>
      <c r="BJ14" s="3">
        <f t="shared" si="13"/>
        <v>0</v>
      </c>
      <c r="BK14" s="3">
        <f t="shared" si="14"/>
        <v>0</v>
      </c>
      <c r="BL14" s="3">
        <f t="shared" si="15"/>
        <v>0</v>
      </c>
      <c r="BM14" s="3">
        <f t="shared" si="16"/>
        <v>0</v>
      </c>
      <c r="BN14" s="3">
        <f t="shared" si="17"/>
        <v>0</v>
      </c>
      <c r="BO14" s="3">
        <f t="shared" si="18"/>
        <v>0</v>
      </c>
      <c r="BP14" s="3">
        <f t="shared" si="19"/>
        <v>0</v>
      </c>
      <c r="BQ14" s="3">
        <f t="shared" si="20"/>
        <v>0</v>
      </c>
      <c r="BR14" s="3">
        <f t="shared" si="21"/>
        <v>0</v>
      </c>
      <c r="BS14" s="3">
        <f t="shared" si="22"/>
        <v>0</v>
      </c>
      <c r="BT14" s="3">
        <f t="shared" si="23"/>
        <v>0</v>
      </c>
      <c r="BU14" s="3">
        <f t="shared" si="40"/>
        <v>0</v>
      </c>
      <c r="BV14" s="3">
        <f t="shared" si="24"/>
        <v>0</v>
      </c>
      <c r="BW14" s="3">
        <f t="shared" si="25"/>
        <v>0</v>
      </c>
      <c r="BX14" s="3">
        <f t="shared" si="26"/>
        <v>0</v>
      </c>
      <c r="BY14" s="3">
        <f t="shared" si="27"/>
        <v>0</v>
      </c>
      <c r="BZ14" s="3">
        <f t="shared" si="28"/>
        <v>0</v>
      </c>
      <c r="CA14" s="3">
        <f t="shared" si="29"/>
        <v>0</v>
      </c>
      <c r="CB14" s="3">
        <f t="shared" si="30"/>
        <v>0</v>
      </c>
      <c r="CC14" s="3">
        <f t="shared" si="31"/>
        <v>0</v>
      </c>
      <c r="CD14" s="3">
        <f t="shared" si="32"/>
        <v>0</v>
      </c>
      <c r="CE14" s="3">
        <f t="shared" si="33"/>
        <v>0</v>
      </c>
      <c r="CF14" s="3">
        <f t="shared" si="34"/>
        <v>0</v>
      </c>
    </row>
    <row r="15" spans="1:84" s="4" customFormat="1" x14ac:dyDescent="0.2">
      <c r="A15" s="72"/>
      <c r="B15" s="103"/>
      <c r="C15" s="104" t="s">
        <v>105</v>
      </c>
      <c r="D15" s="104"/>
      <c r="E15" s="105">
        <f t="shared" ref="E15:AP15" si="58">SUM(E7:E14)</f>
        <v>0</v>
      </c>
      <c r="F15" s="104">
        <f t="shared" si="58"/>
        <v>0</v>
      </c>
      <c r="G15" s="106">
        <f t="shared" si="58"/>
        <v>0</v>
      </c>
      <c r="H15" s="105">
        <f t="shared" si="58"/>
        <v>0</v>
      </c>
      <c r="I15" s="104">
        <f t="shared" si="58"/>
        <v>0</v>
      </c>
      <c r="J15" s="106">
        <f t="shared" si="58"/>
        <v>0</v>
      </c>
      <c r="K15" s="105">
        <f t="shared" si="58"/>
        <v>0</v>
      </c>
      <c r="L15" s="104">
        <f t="shared" si="58"/>
        <v>0</v>
      </c>
      <c r="M15" s="106">
        <f t="shared" si="58"/>
        <v>0</v>
      </c>
      <c r="N15" s="105">
        <f t="shared" si="58"/>
        <v>0</v>
      </c>
      <c r="O15" s="104">
        <f t="shared" si="58"/>
        <v>0</v>
      </c>
      <c r="P15" s="106">
        <f t="shared" si="58"/>
        <v>0</v>
      </c>
      <c r="Q15" s="105">
        <f t="shared" si="58"/>
        <v>0</v>
      </c>
      <c r="R15" s="104">
        <f t="shared" si="58"/>
        <v>0</v>
      </c>
      <c r="S15" s="106">
        <f t="shared" si="58"/>
        <v>0</v>
      </c>
      <c r="T15" s="105">
        <f t="shared" si="58"/>
        <v>0</v>
      </c>
      <c r="U15" s="104">
        <f t="shared" si="58"/>
        <v>0</v>
      </c>
      <c r="V15" s="106">
        <f t="shared" si="58"/>
        <v>0</v>
      </c>
      <c r="W15" s="105">
        <f t="shared" si="58"/>
        <v>0</v>
      </c>
      <c r="X15" s="104">
        <f t="shared" si="58"/>
        <v>0</v>
      </c>
      <c r="Y15" s="106">
        <f t="shared" si="58"/>
        <v>0</v>
      </c>
      <c r="Z15" s="105">
        <f t="shared" si="58"/>
        <v>0</v>
      </c>
      <c r="AA15" s="104">
        <f>SUM(AA7:AA14)</f>
        <v>0</v>
      </c>
      <c r="AB15" s="106">
        <f t="shared" si="58"/>
        <v>0</v>
      </c>
      <c r="AC15" s="105">
        <f t="shared" si="58"/>
        <v>0</v>
      </c>
      <c r="AD15" s="104">
        <f t="shared" si="58"/>
        <v>0</v>
      </c>
      <c r="AE15" s="106">
        <f t="shared" si="58"/>
        <v>0</v>
      </c>
      <c r="AF15" s="105">
        <f t="shared" si="58"/>
        <v>0</v>
      </c>
      <c r="AG15" s="104">
        <f t="shared" si="58"/>
        <v>0</v>
      </c>
      <c r="AH15" s="106">
        <f t="shared" si="58"/>
        <v>0</v>
      </c>
      <c r="AI15" s="105">
        <f t="shared" si="58"/>
        <v>0</v>
      </c>
      <c r="AJ15" s="104">
        <f t="shared" si="58"/>
        <v>0</v>
      </c>
      <c r="AK15" s="106">
        <f t="shared" si="58"/>
        <v>0</v>
      </c>
      <c r="AL15" s="105">
        <f t="shared" si="58"/>
        <v>0</v>
      </c>
      <c r="AM15" s="104">
        <f t="shared" si="58"/>
        <v>0</v>
      </c>
      <c r="AN15" s="106">
        <f t="shared" si="58"/>
        <v>0</v>
      </c>
      <c r="AO15" s="107">
        <f t="shared" si="58"/>
        <v>0</v>
      </c>
      <c r="AP15" s="108">
        <f t="shared" si="58"/>
        <v>0</v>
      </c>
      <c r="AQ15" s="105">
        <f>SUM(AQ7:AQ14)</f>
        <v>0</v>
      </c>
      <c r="AR15" s="7" t="str">
        <f>C15</f>
        <v>RESULTAT</v>
      </c>
      <c r="AS15" s="5"/>
      <c r="AT15" s="8">
        <f>SUM(AT7:AT14)</f>
        <v>0</v>
      </c>
      <c r="AU15" s="38">
        <f>SUM(AU7:AU14)</f>
        <v>0</v>
      </c>
      <c r="AV15" s="8">
        <f>SUM(AV7:AV14)</f>
        <v>0</v>
      </c>
      <c r="AW15" s="7">
        <f>SUM(AW7:AW14)</f>
        <v>0</v>
      </c>
      <c r="AX15" s="5">
        <f>SUM(AX7:AX14)</f>
        <v>0</v>
      </c>
      <c r="AY15" s="5">
        <f t="shared" ref="AY15:BH15" si="59">SUM(AY7:AY14)</f>
        <v>0</v>
      </c>
      <c r="AZ15" s="5">
        <f t="shared" si="59"/>
        <v>0</v>
      </c>
      <c r="BA15" s="5">
        <f t="shared" si="59"/>
        <v>0</v>
      </c>
      <c r="BB15" s="5">
        <f t="shared" si="59"/>
        <v>0</v>
      </c>
      <c r="BC15" s="5">
        <f t="shared" si="59"/>
        <v>0</v>
      </c>
      <c r="BD15" s="5">
        <f t="shared" si="59"/>
        <v>0</v>
      </c>
      <c r="BE15" s="5">
        <f t="shared" si="59"/>
        <v>0</v>
      </c>
      <c r="BF15" s="5">
        <f t="shared" si="59"/>
        <v>0</v>
      </c>
      <c r="BG15" s="5">
        <f t="shared" si="59"/>
        <v>0</v>
      </c>
      <c r="BH15" s="5">
        <f t="shared" si="59"/>
        <v>0</v>
      </c>
      <c r="BI15" s="5">
        <f t="shared" si="39"/>
        <v>0</v>
      </c>
      <c r="BJ15" s="5">
        <f t="shared" si="13"/>
        <v>0</v>
      </c>
      <c r="BK15" s="5">
        <f t="shared" si="14"/>
        <v>0</v>
      </c>
      <c r="BL15" s="5">
        <f t="shared" si="15"/>
        <v>0</v>
      </c>
      <c r="BM15" s="5">
        <f t="shared" si="16"/>
        <v>0</v>
      </c>
      <c r="BN15" s="5">
        <f t="shared" si="17"/>
        <v>0</v>
      </c>
      <c r="BO15" s="5">
        <f t="shared" si="18"/>
        <v>0</v>
      </c>
      <c r="BP15" s="5">
        <f t="shared" si="19"/>
        <v>0</v>
      </c>
      <c r="BQ15" s="5">
        <f t="shared" si="20"/>
        <v>0</v>
      </c>
      <c r="BR15" s="5">
        <f t="shared" si="21"/>
        <v>0</v>
      </c>
      <c r="BS15" s="5">
        <f t="shared" si="22"/>
        <v>0</v>
      </c>
      <c r="BT15" s="5">
        <f t="shared" si="23"/>
        <v>0</v>
      </c>
      <c r="BU15" s="5">
        <f t="shared" si="40"/>
        <v>0</v>
      </c>
      <c r="BV15" s="5">
        <f t="shared" si="24"/>
        <v>0</v>
      </c>
      <c r="BW15" s="5">
        <f t="shared" si="25"/>
        <v>0</v>
      </c>
      <c r="BX15" s="5">
        <f t="shared" si="26"/>
        <v>0</v>
      </c>
      <c r="BY15" s="5">
        <f t="shared" si="27"/>
        <v>0</v>
      </c>
      <c r="BZ15" s="5">
        <f t="shared" si="28"/>
        <v>0</v>
      </c>
      <c r="CA15" s="5">
        <f t="shared" si="29"/>
        <v>0</v>
      </c>
      <c r="CB15" s="5">
        <f t="shared" si="30"/>
        <v>0</v>
      </c>
      <c r="CC15" s="5">
        <f t="shared" si="31"/>
        <v>0</v>
      </c>
      <c r="CD15" s="5">
        <f t="shared" si="32"/>
        <v>0</v>
      </c>
      <c r="CE15" s="5">
        <f t="shared" si="33"/>
        <v>0</v>
      </c>
      <c r="CF15" s="5">
        <f t="shared" si="34"/>
        <v>0</v>
      </c>
    </row>
    <row r="16" spans="1:84" s="3" customFormat="1" hidden="1" x14ac:dyDescent="0.2">
      <c r="A16" s="70"/>
      <c r="B16" s="72" t="s">
        <v>7</v>
      </c>
      <c r="C16" s="70"/>
      <c r="D16" s="111"/>
      <c r="E16" s="97"/>
      <c r="F16" s="70"/>
      <c r="G16" s="93">
        <f t="shared" ref="G16:G26" si="60">F16-E16</f>
        <v>0</v>
      </c>
      <c r="H16" s="97"/>
      <c r="I16" s="70"/>
      <c r="J16" s="93">
        <f t="shared" ref="J16:J26" si="61">I16-H16</f>
        <v>0</v>
      </c>
      <c r="K16" s="97"/>
      <c r="L16" s="70"/>
      <c r="M16" s="93">
        <f t="shared" ref="M16:M23" si="62">L16-K16</f>
        <v>0</v>
      </c>
      <c r="N16" s="97"/>
      <c r="O16" s="70"/>
      <c r="P16" s="93">
        <f t="shared" ref="P16:P23" si="63">O16-N16</f>
        <v>0</v>
      </c>
      <c r="Q16" s="97"/>
      <c r="R16" s="70"/>
      <c r="S16" s="93">
        <f t="shared" ref="S16:S23" si="64">R16-Q16</f>
        <v>0</v>
      </c>
      <c r="T16" s="97"/>
      <c r="U16" s="70"/>
      <c r="V16" s="93">
        <f t="shared" ref="V16:V23" si="65">U16-T16</f>
        <v>0</v>
      </c>
      <c r="W16" s="97"/>
      <c r="X16" s="70"/>
      <c r="Y16" s="93">
        <f t="shared" ref="Y16:Y26" si="66">X16-W16</f>
        <v>0</v>
      </c>
      <c r="Z16" s="97"/>
      <c r="AA16" s="70"/>
      <c r="AB16" s="93">
        <f t="shared" ref="AB16:AB26" si="67">AA16-Z16</f>
        <v>0</v>
      </c>
      <c r="AC16" s="97"/>
      <c r="AD16" s="70"/>
      <c r="AE16" s="93">
        <f t="shared" ref="AE16:AE26" si="68">AD16-AC16</f>
        <v>0</v>
      </c>
      <c r="AF16" s="97"/>
      <c r="AG16" s="70"/>
      <c r="AH16" s="93">
        <f t="shared" ref="AH16:AH26" si="69">AG16-AF16</f>
        <v>0</v>
      </c>
      <c r="AI16" s="97"/>
      <c r="AJ16" s="70"/>
      <c r="AK16" s="93">
        <f t="shared" ref="AK16:AK26" si="70">AJ16-AI16</f>
        <v>0</v>
      </c>
      <c r="AL16" s="97"/>
      <c r="AM16" s="70"/>
      <c r="AN16" s="93">
        <f t="shared" ref="AN16:AN26" si="71">AM16-AL16</f>
        <v>0</v>
      </c>
      <c r="AO16" s="112">
        <f t="shared" ref="AO16:AP24" si="72">AL16+AI16+AF16+AC16+Z16+W16+T16+Q16+N16+K16+H16+E16</f>
        <v>0</v>
      </c>
      <c r="AP16" s="113"/>
      <c r="AQ16" s="96"/>
      <c r="AR16" s="6"/>
      <c r="AT16" s="9">
        <v>0</v>
      </c>
      <c r="AU16" s="37"/>
      <c r="AV16" s="9"/>
    </row>
    <row r="17" spans="1:94" s="3" customFormat="1" hidden="1" x14ac:dyDescent="0.2">
      <c r="A17" s="70"/>
      <c r="B17" s="64"/>
      <c r="C17" s="70" t="s">
        <v>83</v>
      </c>
      <c r="D17" s="70" t="s">
        <v>3</v>
      </c>
      <c r="E17" s="114">
        <f>D33-E33</f>
        <v>0</v>
      </c>
      <c r="F17" s="70">
        <f>D33-F33</f>
        <v>0</v>
      </c>
      <c r="G17" s="93">
        <f t="shared" si="60"/>
        <v>0</v>
      </c>
      <c r="H17" s="97">
        <f>E33-H33</f>
        <v>0</v>
      </c>
      <c r="I17" s="70">
        <f>F33-I33</f>
        <v>0</v>
      </c>
      <c r="J17" s="93">
        <f t="shared" si="61"/>
        <v>0</v>
      </c>
      <c r="K17" s="97">
        <f>H33-K33</f>
        <v>0</v>
      </c>
      <c r="L17" s="70">
        <f>I33-L33</f>
        <v>0</v>
      </c>
      <c r="M17" s="93">
        <f t="shared" si="62"/>
        <v>0</v>
      </c>
      <c r="N17" s="97">
        <f>K33-N33</f>
        <v>0</v>
      </c>
      <c r="O17" s="70">
        <f>L33-O33</f>
        <v>0</v>
      </c>
      <c r="P17" s="93">
        <f t="shared" si="63"/>
        <v>0</v>
      </c>
      <c r="Q17" s="97">
        <f>N33-Q33</f>
        <v>0</v>
      </c>
      <c r="R17" s="70">
        <f>O33-R33</f>
        <v>0</v>
      </c>
      <c r="S17" s="93">
        <f t="shared" si="64"/>
        <v>0</v>
      </c>
      <c r="T17" s="97">
        <f>Q33-T33</f>
        <v>0</v>
      </c>
      <c r="U17" s="70">
        <f>R33-U33</f>
        <v>0</v>
      </c>
      <c r="V17" s="93">
        <f t="shared" si="65"/>
        <v>0</v>
      </c>
      <c r="W17" s="97">
        <f>T33-W33</f>
        <v>0</v>
      </c>
      <c r="X17" s="70">
        <f>U33-X33</f>
        <v>0</v>
      </c>
      <c r="Y17" s="93">
        <f t="shared" si="66"/>
        <v>0</v>
      </c>
      <c r="Z17" s="97">
        <f>W33-Z33</f>
        <v>0</v>
      </c>
      <c r="AA17" s="70">
        <f>X33-AA33</f>
        <v>0</v>
      </c>
      <c r="AB17" s="93">
        <f t="shared" si="67"/>
        <v>0</v>
      </c>
      <c r="AC17" s="97">
        <f>Z33-AC33</f>
        <v>0</v>
      </c>
      <c r="AD17" s="70">
        <f>AA33-AD33</f>
        <v>0</v>
      </c>
      <c r="AE17" s="93">
        <f t="shared" si="68"/>
        <v>0</v>
      </c>
      <c r="AF17" s="97">
        <f>AC33-AF33</f>
        <v>0</v>
      </c>
      <c r="AG17" s="70">
        <f>AD33-AG33</f>
        <v>0</v>
      </c>
      <c r="AH17" s="93">
        <f t="shared" si="69"/>
        <v>0</v>
      </c>
      <c r="AI17" s="97">
        <f>AF33-AI33</f>
        <v>0</v>
      </c>
      <c r="AJ17" s="70">
        <f>AG33-AJ33</f>
        <v>0</v>
      </c>
      <c r="AK17" s="93">
        <f t="shared" si="70"/>
        <v>0</v>
      </c>
      <c r="AL17" s="97">
        <f>AI33-AL33</f>
        <v>0</v>
      </c>
      <c r="AM17" s="63">
        <f>AJ33-AM33</f>
        <v>0</v>
      </c>
      <c r="AN17" s="93">
        <f t="shared" si="71"/>
        <v>0</v>
      </c>
      <c r="AO17" s="112">
        <f t="shared" ref="AO17:AO23" si="73">INDEX(BI17:BT17,1,$I$1)</f>
        <v>0</v>
      </c>
      <c r="AP17" s="115">
        <f t="shared" ref="AP17:AP23" si="74">INDEX(BU17:CF17,1,$I$1)</f>
        <v>0</v>
      </c>
      <c r="AQ17" s="96">
        <f t="shared" ref="AQ17:AQ24" si="75">AP17-AO17</f>
        <v>0</v>
      </c>
      <c r="AR17" s="6" t="str">
        <f t="shared" ref="AR17:AR24" si="76">C17</f>
        <v>Ændring anlægsaktiver</v>
      </c>
      <c r="AT17" s="9">
        <v>-76660</v>
      </c>
      <c r="AU17" s="37">
        <f t="shared" ref="AU17:AU24" si="77">INDEX(AW17:BH17,1,$I$1)</f>
        <v>0</v>
      </c>
      <c r="AV17" s="9">
        <f t="shared" ref="AV17:AV24" si="78">AU17-AT17</f>
        <v>76660</v>
      </c>
      <c r="AW17" s="3">
        <f t="shared" ref="AW17:AW25" si="79">AL17+AI17+AF17+AC17+Z17+W17+T17+Q17+N17+K17+H17+F17</f>
        <v>0</v>
      </c>
      <c r="AX17" s="3">
        <f t="shared" ref="AX17:AX25" si="80">AL17+AI17+AF17+AC17+Z17+W17+T17+Q17+N17+K17+I17+F17</f>
        <v>0</v>
      </c>
      <c r="AY17" s="3">
        <f t="shared" ref="AY17:AY25" si="81">AL17+AI17+AF17+AC17+Z17+W17+T17+Q17+N17+L17+I17+F17</f>
        <v>0</v>
      </c>
      <c r="AZ17" s="3">
        <f t="shared" ref="AZ17:AZ25" si="82">AL17+AI17+AF17+AC17+Z17+W17+T17+Q17+O17+L17+I17+F17</f>
        <v>0</v>
      </c>
      <c r="BA17" s="3">
        <f t="shared" ref="BA17:BA25" si="83">AL17+AI17+AF17+AC17+Z17+W17+T17+R17+O17+L17+I17+F17</f>
        <v>0</v>
      </c>
      <c r="BB17" s="3">
        <f t="shared" ref="BB17:BB25" si="84">AL17+AI17+AF17+AC17+Z17+W17+U17+R17+O17+L17+I17+F17</f>
        <v>0</v>
      </c>
      <c r="BC17" s="3">
        <f t="shared" ref="BC17:BC25" si="85">AL17+AI17+AF17+AC17+Z17+X17+U17+R17+O17+L17+I17+F17</f>
        <v>0</v>
      </c>
      <c r="BD17" s="3">
        <f t="shared" ref="BD17:BD25" si="86">AL17+AI17+AF17+AC17+AA17+X17+U17+R17+O17+L17+I17+F17</f>
        <v>0</v>
      </c>
      <c r="BE17" s="3">
        <f t="shared" ref="BE17:BE25" si="87">AL17+AI17+AF17+AD17+AA17+X17+U17+R17+O17+L17+I17+F17</f>
        <v>0</v>
      </c>
      <c r="BF17" s="3">
        <f t="shared" ref="BF17:BF25" si="88">AL17+AI17+AG17+AD17+AA17+X17+U17+R17+O17+L17+I17+F17</f>
        <v>0</v>
      </c>
      <c r="BG17" s="3">
        <f t="shared" ref="BG17:BG25" si="89">AL17+AJ17+AG17+AD17+AA17+X17+U17+R17+O17+L17+I17+F17</f>
        <v>0</v>
      </c>
      <c r="BH17" s="3">
        <f t="shared" ref="BH17:BH25" si="90">AM17+AJ17+AG17+AD17+AA17+X17+U17+R17+O17+L17+I17+F17</f>
        <v>0</v>
      </c>
      <c r="BI17" s="3">
        <f t="shared" ref="BI17:BI23" si="91">E17</f>
        <v>0</v>
      </c>
      <c r="BJ17" s="3">
        <f t="shared" ref="BJ17:BJ23" si="92">BI17+H17</f>
        <v>0</v>
      </c>
      <c r="BK17" s="3">
        <f t="shared" ref="BK17:BK23" si="93">BJ17+K17</f>
        <v>0</v>
      </c>
      <c r="BL17" s="3">
        <f t="shared" ref="BL17:BL23" si="94">BK17+N17</f>
        <v>0</v>
      </c>
      <c r="BM17" s="3">
        <f t="shared" ref="BM17:BM23" si="95">BL17+Q17</f>
        <v>0</v>
      </c>
      <c r="BN17" s="3">
        <f t="shared" ref="BN17:BN23" si="96">BM17+T17</f>
        <v>0</v>
      </c>
      <c r="BO17" s="3">
        <f t="shared" ref="BO17:BO23" si="97">BN17+W17</f>
        <v>0</v>
      </c>
      <c r="BP17" s="3">
        <f t="shared" ref="BP17:BP23" si="98">BO17+Z17</f>
        <v>0</v>
      </c>
      <c r="BQ17" s="3">
        <f t="shared" ref="BQ17:BQ23" si="99">BP17+AC17</f>
        <v>0</v>
      </c>
      <c r="BR17" s="3">
        <f t="shared" ref="BR17:BR23" si="100">+BQ17+AF17</f>
        <v>0</v>
      </c>
      <c r="BS17" s="3">
        <f t="shared" ref="BS17:BS23" si="101">+BR17+AI17</f>
        <v>0</v>
      </c>
      <c r="BT17" s="3">
        <f t="shared" ref="BT17:BT23" si="102">BS17+AL17</f>
        <v>0</v>
      </c>
      <c r="BU17" s="3">
        <f t="shared" ref="BU17:BU23" si="103">F17</f>
        <v>0</v>
      </c>
      <c r="BV17" s="3">
        <f t="shared" ref="BV17:BV23" si="104">BU17+I17</f>
        <v>0</v>
      </c>
      <c r="BW17" s="3">
        <f t="shared" ref="BW17:BW23" si="105">BV17+L17</f>
        <v>0</v>
      </c>
      <c r="BX17" s="3">
        <f t="shared" ref="BX17:BX23" si="106">BW17+O17</f>
        <v>0</v>
      </c>
      <c r="BY17" s="3">
        <f t="shared" ref="BY17:BY23" si="107">BX17+R17</f>
        <v>0</v>
      </c>
      <c r="BZ17" s="3">
        <f t="shared" ref="BZ17:BZ23" si="108">BY17+U17</f>
        <v>0</v>
      </c>
      <c r="CA17" s="3">
        <f t="shared" ref="CA17:CA23" si="109">BZ17+X17</f>
        <v>0</v>
      </c>
      <c r="CB17" s="3">
        <f t="shared" ref="CB17:CB23" si="110">CA17+AA17</f>
        <v>0</v>
      </c>
      <c r="CC17" s="3">
        <f t="shared" ref="CC17:CC23" si="111">CB17+AD17</f>
        <v>0</v>
      </c>
      <c r="CD17" s="3">
        <f t="shared" ref="CD17:CD23" si="112">+CC17+AG17</f>
        <v>0</v>
      </c>
      <c r="CE17" s="3">
        <f t="shared" ref="CE17:CE23" si="113">+CD17+AJ17</f>
        <v>0</v>
      </c>
      <c r="CF17" s="3">
        <f t="shared" ref="CF17:CF23" si="114">CE17+AM17</f>
        <v>0</v>
      </c>
    </row>
    <row r="18" spans="1:94" s="3" customFormat="1" hidden="1" x14ac:dyDescent="0.2">
      <c r="A18" s="70"/>
      <c r="B18" s="64"/>
      <c r="C18" s="70" t="s">
        <v>84</v>
      </c>
      <c r="D18" s="70"/>
      <c r="E18" s="114">
        <f>D34-E34</f>
        <v>0</v>
      </c>
      <c r="F18" s="70">
        <f>D34-F34</f>
        <v>0</v>
      </c>
      <c r="G18" s="93">
        <f t="shared" si="60"/>
        <v>0</v>
      </c>
      <c r="H18" s="97">
        <f>E34-H34</f>
        <v>0</v>
      </c>
      <c r="I18" s="70">
        <f>F34-I34</f>
        <v>0</v>
      </c>
      <c r="J18" s="93">
        <f t="shared" si="61"/>
        <v>0</v>
      </c>
      <c r="K18" s="97">
        <f>H34-K34</f>
        <v>0</v>
      </c>
      <c r="L18" s="70">
        <f>I34-L34</f>
        <v>0</v>
      </c>
      <c r="M18" s="93">
        <f t="shared" si="62"/>
        <v>0</v>
      </c>
      <c r="N18" s="97">
        <f>K34-N34</f>
        <v>0</v>
      </c>
      <c r="O18" s="70">
        <f>L34-O34</f>
        <v>0</v>
      </c>
      <c r="P18" s="93">
        <f t="shared" si="63"/>
        <v>0</v>
      </c>
      <c r="Q18" s="97">
        <f>N34-Q34</f>
        <v>0</v>
      </c>
      <c r="R18" s="70">
        <f>O34-R34</f>
        <v>0</v>
      </c>
      <c r="S18" s="93">
        <f t="shared" si="64"/>
        <v>0</v>
      </c>
      <c r="T18" s="97">
        <f>Q34-T34</f>
        <v>0</v>
      </c>
      <c r="U18" s="70">
        <f>R34-U34</f>
        <v>0</v>
      </c>
      <c r="V18" s="93">
        <f t="shared" si="65"/>
        <v>0</v>
      </c>
      <c r="W18" s="97">
        <f>T34-W34</f>
        <v>0</v>
      </c>
      <c r="X18" s="70">
        <f>U34-X34</f>
        <v>0</v>
      </c>
      <c r="Y18" s="93">
        <f t="shared" si="66"/>
        <v>0</v>
      </c>
      <c r="Z18" s="97">
        <f>W34-Z34</f>
        <v>0</v>
      </c>
      <c r="AA18" s="70">
        <f>X34-AA34</f>
        <v>0</v>
      </c>
      <c r="AB18" s="93">
        <f t="shared" si="67"/>
        <v>0</v>
      </c>
      <c r="AC18" s="97">
        <f>Z34-AC34</f>
        <v>0</v>
      </c>
      <c r="AD18" s="70">
        <f>AA34-AD34</f>
        <v>0</v>
      </c>
      <c r="AE18" s="93">
        <f t="shared" si="68"/>
        <v>0</v>
      </c>
      <c r="AF18" s="97">
        <f>AC34-AF34</f>
        <v>0</v>
      </c>
      <c r="AG18" s="70">
        <f>AD34-AG34</f>
        <v>0</v>
      </c>
      <c r="AH18" s="93">
        <f t="shared" si="69"/>
        <v>0</v>
      </c>
      <c r="AI18" s="97">
        <f>AF34-AI34</f>
        <v>0</v>
      </c>
      <c r="AJ18" s="70">
        <f>AG34-AJ34</f>
        <v>0</v>
      </c>
      <c r="AK18" s="93">
        <f t="shared" si="70"/>
        <v>0</v>
      </c>
      <c r="AL18" s="97">
        <f>AI34-AL34</f>
        <v>0</v>
      </c>
      <c r="AM18" s="63">
        <f>AJ34-AM34</f>
        <v>0</v>
      </c>
      <c r="AN18" s="93">
        <f t="shared" si="71"/>
        <v>0</v>
      </c>
      <c r="AO18" s="94">
        <f t="shared" si="73"/>
        <v>0</v>
      </c>
      <c r="AP18" s="95">
        <f t="shared" si="74"/>
        <v>0</v>
      </c>
      <c r="AQ18" s="96">
        <f>AP18-AO18</f>
        <v>0</v>
      </c>
      <c r="AR18" s="6" t="str">
        <f t="shared" si="76"/>
        <v>Ændring tilgodehavender</v>
      </c>
      <c r="AT18" s="9">
        <v>-25548</v>
      </c>
      <c r="AU18" s="37">
        <f t="shared" si="77"/>
        <v>0</v>
      </c>
      <c r="AV18" s="9">
        <f>AU18-AT18</f>
        <v>25548</v>
      </c>
      <c r="AW18" s="3">
        <f t="shared" si="79"/>
        <v>0</v>
      </c>
      <c r="AX18" s="3">
        <f t="shared" si="80"/>
        <v>0</v>
      </c>
      <c r="AY18" s="3">
        <f t="shared" si="81"/>
        <v>0</v>
      </c>
      <c r="AZ18" s="3">
        <f t="shared" si="82"/>
        <v>0</v>
      </c>
      <c r="BA18" s="3">
        <f t="shared" si="83"/>
        <v>0</v>
      </c>
      <c r="BB18" s="3">
        <f t="shared" si="84"/>
        <v>0</v>
      </c>
      <c r="BC18" s="3">
        <f t="shared" si="85"/>
        <v>0</v>
      </c>
      <c r="BD18" s="3">
        <f t="shared" si="86"/>
        <v>0</v>
      </c>
      <c r="BE18" s="3">
        <f t="shared" si="87"/>
        <v>0</v>
      </c>
      <c r="BF18" s="3">
        <f t="shared" si="88"/>
        <v>0</v>
      </c>
      <c r="BG18" s="3">
        <f t="shared" si="89"/>
        <v>0</v>
      </c>
      <c r="BH18" s="3">
        <f t="shared" si="90"/>
        <v>0</v>
      </c>
      <c r="BI18" s="3">
        <f t="shared" si="91"/>
        <v>0</v>
      </c>
      <c r="BJ18" s="3">
        <f t="shared" si="92"/>
        <v>0</v>
      </c>
      <c r="BK18" s="3">
        <f t="shared" si="93"/>
        <v>0</v>
      </c>
      <c r="BL18" s="3">
        <f t="shared" si="94"/>
        <v>0</v>
      </c>
      <c r="BM18" s="3">
        <f t="shared" si="95"/>
        <v>0</v>
      </c>
      <c r="BN18" s="3">
        <f t="shared" si="96"/>
        <v>0</v>
      </c>
      <c r="BO18" s="3">
        <f t="shared" si="97"/>
        <v>0</v>
      </c>
      <c r="BP18" s="3">
        <f t="shared" si="98"/>
        <v>0</v>
      </c>
      <c r="BQ18" s="3">
        <f t="shared" si="99"/>
        <v>0</v>
      </c>
      <c r="BR18" s="3">
        <f t="shared" si="100"/>
        <v>0</v>
      </c>
      <c r="BS18" s="3">
        <f t="shared" si="101"/>
        <v>0</v>
      </c>
      <c r="BT18" s="3">
        <f t="shared" si="102"/>
        <v>0</v>
      </c>
      <c r="BU18" s="3">
        <f t="shared" si="103"/>
        <v>0</v>
      </c>
      <c r="BV18" s="3">
        <f t="shared" si="104"/>
        <v>0</v>
      </c>
      <c r="BW18" s="3">
        <f t="shared" si="105"/>
        <v>0</v>
      </c>
      <c r="BX18" s="3">
        <f t="shared" si="106"/>
        <v>0</v>
      </c>
      <c r="BY18" s="3">
        <f t="shared" si="107"/>
        <v>0</v>
      </c>
      <c r="BZ18" s="3">
        <f t="shared" si="108"/>
        <v>0</v>
      </c>
      <c r="CA18" s="3">
        <f t="shared" si="109"/>
        <v>0</v>
      </c>
      <c r="CB18" s="3">
        <f t="shared" si="110"/>
        <v>0</v>
      </c>
      <c r="CC18" s="3">
        <f t="shared" si="111"/>
        <v>0</v>
      </c>
      <c r="CD18" s="3">
        <f t="shared" si="112"/>
        <v>0</v>
      </c>
      <c r="CE18" s="3">
        <f t="shared" si="113"/>
        <v>0</v>
      </c>
      <c r="CF18" s="3">
        <f t="shared" si="114"/>
        <v>0</v>
      </c>
    </row>
    <row r="19" spans="1:94" s="3" customFormat="1" hidden="1" x14ac:dyDescent="0.2">
      <c r="A19" s="70"/>
      <c r="B19" s="64"/>
      <c r="C19" s="70" t="s">
        <v>104</v>
      </c>
      <c r="D19" s="70"/>
      <c r="E19" s="114">
        <f>D38-E38</f>
        <v>0</v>
      </c>
      <c r="F19" s="70">
        <f>D38-F38</f>
        <v>0</v>
      </c>
      <c r="G19" s="93">
        <f t="shared" si="60"/>
        <v>0</v>
      </c>
      <c r="H19" s="97">
        <f t="shared" ref="H19:I22" si="115">E38-H38</f>
        <v>0</v>
      </c>
      <c r="I19" s="70">
        <f t="shared" si="115"/>
        <v>0</v>
      </c>
      <c r="J19" s="93">
        <f t="shared" si="61"/>
        <v>0</v>
      </c>
      <c r="K19" s="97">
        <f t="shared" ref="K19:L22" si="116">H38-K38</f>
        <v>0</v>
      </c>
      <c r="L19" s="70">
        <f t="shared" si="116"/>
        <v>0</v>
      </c>
      <c r="M19" s="93"/>
      <c r="N19" s="97">
        <f t="shared" ref="N19:O22" si="117">K38-N38</f>
        <v>0</v>
      </c>
      <c r="O19" s="70">
        <f t="shared" si="117"/>
        <v>0</v>
      </c>
      <c r="P19" s="93"/>
      <c r="Q19" s="97">
        <f t="shared" ref="Q19:R22" si="118">N38-Q38</f>
        <v>0</v>
      </c>
      <c r="R19" s="70">
        <f t="shared" si="118"/>
        <v>0</v>
      </c>
      <c r="S19" s="93"/>
      <c r="T19" s="97">
        <f t="shared" ref="T19:U22" si="119">Q38-T38</f>
        <v>0</v>
      </c>
      <c r="U19" s="70">
        <f t="shared" si="119"/>
        <v>0</v>
      </c>
      <c r="V19" s="93"/>
      <c r="W19" s="97">
        <f t="shared" ref="W19:X22" si="120">T38-W38</f>
        <v>0</v>
      </c>
      <c r="X19" s="70">
        <f t="shared" si="120"/>
        <v>0</v>
      </c>
      <c r="Y19" s="93">
        <f t="shared" si="66"/>
        <v>0</v>
      </c>
      <c r="Z19" s="97">
        <f t="shared" ref="Z19:AA22" si="121">W38-Z38</f>
        <v>0</v>
      </c>
      <c r="AA19" s="70">
        <f t="shared" si="121"/>
        <v>0</v>
      </c>
      <c r="AB19" s="93">
        <f t="shared" si="67"/>
        <v>0</v>
      </c>
      <c r="AC19" s="97">
        <f t="shared" ref="AC19:AD22" si="122">Z38-AC38</f>
        <v>0</v>
      </c>
      <c r="AD19" s="70">
        <f t="shared" si="122"/>
        <v>0</v>
      </c>
      <c r="AE19" s="93">
        <f t="shared" si="68"/>
        <v>0</v>
      </c>
      <c r="AF19" s="97">
        <f t="shared" ref="AF19:AG22" si="123">AC38-AF38</f>
        <v>0</v>
      </c>
      <c r="AG19" s="70">
        <f t="shared" si="123"/>
        <v>0</v>
      </c>
      <c r="AH19" s="93">
        <f t="shared" si="69"/>
        <v>0</v>
      </c>
      <c r="AI19" s="97">
        <f t="shared" ref="AI19:AJ22" si="124">AF38-AI38</f>
        <v>0</v>
      </c>
      <c r="AJ19" s="70">
        <f t="shared" si="124"/>
        <v>0</v>
      </c>
      <c r="AK19" s="93">
        <f t="shared" si="70"/>
        <v>0</v>
      </c>
      <c r="AL19" s="97">
        <f t="shared" ref="AL19:AM22" si="125">AI38-AL38</f>
        <v>0</v>
      </c>
      <c r="AM19" s="63">
        <f t="shared" si="125"/>
        <v>0</v>
      </c>
      <c r="AN19" s="93">
        <f t="shared" si="71"/>
        <v>0</v>
      </c>
      <c r="AO19" s="94">
        <f t="shared" si="73"/>
        <v>0</v>
      </c>
      <c r="AP19" s="95">
        <f t="shared" si="74"/>
        <v>0</v>
      </c>
      <c r="AQ19" s="96">
        <f t="shared" si="75"/>
        <v>0</v>
      </c>
      <c r="AR19" s="6" t="str">
        <f t="shared" si="76"/>
        <v>Hævet til privat, bil og skat</v>
      </c>
      <c r="AT19" s="9">
        <v>-138695</v>
      </c>
      <c r="AU19" s="37">
        <f t="shared" si="77"/>
        <v>0</v>
      </c>
      <c r="AV19" s="9">
        <f t="shared" si="78"/>
        <v>138695</v>
      </c>
      <c r="AW19" s="3">
        <f t="shared" si="79"/>
        <v>0</v>
      </c>
      <c r="AX19" s="3">
        <f t="shared" si="80"/>
        <v>0</v>
      </c>
      <c r="AY19" s="3">
        <f t="shared" si="81"/>
        <v>0</v>
      </c>
      <c r="AZ19" s="3">
        <f t="shared" si="82"/>
        <v>0</v>
      </c>
      <c r="BA19" s="3">
        <f t="shared" si="83"/>
        <v>0</v>
      </c>
      <c r="BB19" s="3">
        <f t="shared" si="84"/>
        <v>0</v>
      </c>
      <c r="BC19" s="3">
        <f t="shared" si="85"/>
        <v>0</v>
      </c>
      <c r="BD19" s="3">
        <f t="shared" si="86"/>
        <v>0</v>
      </c>
      <c r="BE19" s="3">
        <f t="shared" si="87"/>
        <v>0</v>
      </c>
      <c r="BF19" s="3">
        <f t="shared" si="88"/>
        <v>0</v>
      </c>
      <c r="BG19" s="3">
        <f t="shared" si="89"/>
        <v>0</v>
      </c>
      <c r="BH19" s="3">
        <f t="shared" si="90"/>
        <v>0</v>
      </c>
      <c r="BI19" s="3">
        <f t="shared" si="91"/>
        <v>0</v>
      </c>
      <c r="BJ19" s="3">
        <f t="shared" si="92"/>
        <v>0</v>
      </c>
      <c r="BK19" s="3">
        <f t="shared" si="93"/>
        <v>0</v>
      </c>
      <c r="BL19" s="3">
        <f t="shared" si="94"/>
        <v>0</v>
      </c>
      <c r="BM19" s="3">
        <f t="shared" si="95"/>
        <v>0</v>
      </c>
      <c r="BN19" s="3">
        <f t="shared" si="96"/>
        <v>0</v>
      </c>
      <c r="BO19" s="3">
        <f t="shared" si="97"/>
        <v>0</v>
      </c>
      <c r="BP19" s="3">
        <f t="shared" si="98"/>
        <v>0</v>
      </c>
      <c r="BQ19" s="3">
        <f t="shared" si="99"/>
        <v>0</v>
      </c>
      <c r="BR19" s="3">
        <f t="shared" si="100"/>
        <v>0</v>
      </c>
      <c r="BS19" s="3">
        <f t="shared" si="101"/>
        <v>0</v>
      </c>
      <c r="BT19" s="3">
        <f t="shared" si="102"/>
        <v>0</v>
      </c>
      <c r="BU19" s="3">
        <f t="shared" si="103"/>
        <v>0</v>
      </c>
      <c r="BV19" s="3">
        <f t="shared" si="104"/>
        <v>0</v>
      </c>
      <c r="BW19" s="3">
        <f t="shared" si="105"/>
        <v>0</v>
      </c>
      <c r="BX19" s="3">
        <f t="shared" si="106"/>
        <v>0</v>
      </c>
      <c r="BY19" s="3">
        <f t="shared" si="107"/>
        <v>0</v>
      </c>
      <c r="BZ19" s="3">
        <f t="shared" si="108"/>
        <v>0</v>
      </c>
      <c r="CA19" s="3">
        <f t="shared" si="109"/>
        <v>0</v>
      </c>
      <c r="CB19" s="3">
        <f t="shared" si="110"/>
        <v>0</v>
      </c>
      <c r="CC19" s="3">
        <f t="shared" si="111"/>
        <v>0</v>
      </c>
      <c r="CD19" s="3">
        <f t="shared" si="112"/>
        <v>0</v>
      </c>
      <c r="CE19" s="3">
        <f t="shared" si="113"/>
        <v>0</v>
      </c>
      <c r="CF19" s="3">
        <f t="shared" si="114"/>
        <v>0</v>
      </c>
    </row>
    <row r="20" spans="1:94" s="3" customFormat="1" hidden="1" x14ac:dyDescent="0.2">
      <c r="A20" s="70"/>
      <c r="B20" s="64"/>
      <c r="C20" s="70" t="s">
        <v>85</v>
      </c>
      <c r="D20" s="70"/>
      <c r="E20" s="114">
        <f>D39-E39</f>
        <v>0</v>
      </c>
      <c r="F20" s="70">
        <f>D39-F39</f>
        <v>0</v>
      </c>
      <c r="G20" s="93">
        <f t="shared" si="60"/>
        <v>0</v>
      </c>
      <c r="H20" s="97">
        <f t="shared" si="115"/>
        <v>0</v>
      </c>
      <c r="I20" s="70">
        <f t="shared" si="115"/>
        <v>0</v>
      </c>
      <c r="J20" s="93">
        <f t="shared" si="61"/>
        <v>0</v>
      </c>
      <c r="K20" s="97">
        <f t="shared" si="116"/>
        <v>0</v>
      </c>
      <c r="L20" s="70">
        <f t="shared" si="116"/>
        <v>0</v>
      </c>
      <c r="M20" s="93">
        <f t="shared" ref="M20" si="126">L20-K20</f>
        <v>0</v>
      </c>
      <c r="N20" s="97">
        <f t="shared" si="117"/>
        <v>0</v>
      </c>
      <c r="O20" s="70">
        <f t="shared" si="117"/>
        <v>0</v>
      </c>
      <c r="P20" s="93">
        <f t="shared" ref="P20" si="127">O20-N20</f>
        <v>0</v>
      </c>
      <c r="Q20" s="97">
        <f t="shared" si="118"/>
        <v>0</v>
      </c>
      <c r="R20" s="70">
        <f t="shared" si="118"/>
        <v>0</v>
      </c>
      <c r="S20" s="93">
        <f t="shared" ref="S20" si="128">R20-Q20</f>
        <v>0</v>
      </c>
      <c r="T20" s="97">
        <f t="shared" si="119"/>
        <v>0</v>
      </c>
      <c r="U20" s="70">
        <f t="shared" si="119"/>
        <v>0</v>
      </c>
      <c r="V20" s="93">
        <f t="shared" ref="V20" si="129">U20-T20</f>
        <v>0</v>
      </c>
      <c r="W20" s="97">
        <f t="shared" si="120"/>
        <v>0</v>
      </c>
      <c r="X20" s="70">
        <f t="shared" si="120"/>
        <v>0</v>
      </c>
      <c r="Y20" s="93">
        <f t="shared" si="66"/>
        <v>0</v>
      </c>
      <c r="Z20" s="97">
        <f t="shared" si="121"/>
        <v>0</v>
      </c>
      <c r="AA20" s="70">
        <f t="shared" si="121"/>
        <v>0</v>
      </c>
      <c r="AB20" s="93">
        <f t="shared" si="67"/>
        <v>0</v>
      </c>
      <c r="AC20" s="97">
        <f t="shared" si="122"/>
        <v>0</v>
      </c>
      <c r="AD20" s="70">
        <f t="shared" si="122"/>
        <v>0</v>
      </c>
      <c r="AE20" s="93">
        <f t="shared" si="68"/>
        <v>0</v>
      </c>
      <c r="AF20" s="97">
        <f t="shared" si="123"/>
        <v>0</v>
      </c>
      <c r="AG20" s="70">
        <f t="shared" si="123"/>
        <v>0</v>
      </c>
      <c r="AH20" s="93">
        <f t="shared" si="69"/>
        <v>0</v>
      </c>
      <c r="AI20" s="97">
        <f t="shared" si="124"/>
        <v>0</v>
      </c>
      <c r="AJ20" s="70">
        <f t="shared" si="124"/>
        <v>0</v>
      </c>
      <c r="AK20" s="93">
        <f t="shared" si="70"/>
        <v>0</v>
      </c>
      <c r="AL20" s="97">
        <f t="shared" si="125"/>
        <v>0</v>
      </c>
      <c r="AM20" s="63">
        <f t="shared" si="125"/>
        <v>0</v>
      </c>
      <c r="AN20" s="93">
        <f t="shared" si="71"/>
        <v>0</v>
      </c>
      <c r="AO20" s="94">
        <f t="shared" si="73"/>
        <v>0</v>
      </c>
      <c r="AP20" s="95">
        <f t="shared" si="74"/>
        <v>0</v>
      </c>
      <c r="AQ20" s="96">
        <f t="shared" si="75"/>
        <v>0</v>
      </c>
      <c r="AR20" s="6" t="str">
        <f t="shared" si="76"/>
        <v>Ændring langfristet gæld</v>
      </c>
      <c r="AT20" s="9">
        <v>302155</v>
      </c>
      <c r="AU20" s="37">
        <f t="shared" si="77"/>
        <v>0</v>
      </c>
      <c r="AV20" s="9">
        <f t="shared" si="78"/>
        <v>-302155</v>
      </c>
      <c r="AW20" s="3">
        <f t="shared" si="79"/>
        <v>0</v>
      </c>
      <c r="AX20" s="3">
        <f t="shared" si="80"/>
        <v>0</v>
      </c>
      <c r="AY20" s="3">
        <f t="shared" si="81"/>
        <v>0</v>
      </c>
      <c r="AZ20" s="3">
        <f t="shared" si="82"/>
        <v>0</v>
      </c>
      <c r="BA20" s="3">
        <f t="shared" si="83"/>
        <v>0</v>
      </c>
      <c r="BB20" s="3">
        <f t="shared" si="84"/>
        <v>0</v>
      </c>
      <c r="BC20" s="3">
        <f t="shared" si="85"/>
        <v>0</v>
      </c>
      <c r="BD20" s="3">
        <f t="shared" si="86"/>
        <v>0</v>
      </c>
      <c r="BE20" s="3">
        <f t="shared" si="87"/>
        <v>0</v>
      </c>
      <c r="BF20" s="3">
        <f t="shared" si="88"/>
        <v>0</v>
      </c>
      <c r="BG20" s="3">
        <f t="shared" si="89"/>
        <v>0</v>
      </c>
      <c r="BH20" s="3">
        <f t="shared" si="90"/>
        <v>0</v>
      </c>
      <c r="BI20" s="3">
        <f t="shared" si="91"/>
        <v>0</v>
      </c>
      <c r="BJ20" s="3">
        <f t="shared" si="92"/>
        <v>0</v>
      </c>
      <c r="BK20" s="3">
        <f t="shared" si="93"/>
        <v>0</v>
      </c>
      <c r="BL20" s="3">
        <f t="shared" si="94"/>
        <v>0</v>
      </c>
      <c r="BM20" s="3">
        <f t="shared" si="95"/>
        <v>0</v>
      </c>
      <c r="BN20" s="3">
        <f t="shared" si="96"/>
        <v>0</v>
      </c>
      <c r="BO20" s="3">
        <f t="shared" si="97"/>
        <v>0</v>
      </c>
      <c r="BP20" s="3">
        <f t="shared" si="98"/>
        <v>0</v>
      </c>
      <c r="BQ20" s="3">
        <f t="shared" si="99"/>
        <v>0</v>
      </c>
      <c r="BR20" s="3">
        <f t="shared" si="100"/>
        <v>0</v>
      </c>
      <c r="BS20" s="3">
        <f t="shared" si="101"/>
        <v>0</v>
      </c>
      <c r="BT20" s="3">
        <f t="shared" si="102"/>
        <v>0</v>
      </c>
      <c r="BU20" s="3">
        <f t="shared" si="103"/>
        <v>0</v>
      </c>
      <c r="BV20" s="3">
        <f t="shared" si="104"/>
        <v>0</v>
      </c>
      <c r="BW20" s="3">
        <f t="shared" si="105"/>
        <v>0</v>
      </c>
      <c r="BX20" s="3">
        <f t="shared" si="106"/>
        <v>0</v>
      </c>
      <c r="BY20" s="3">
        <f t="shared" si="107"/>
        <v>0</v>
      </c>
      <c r="BZ20" s="3">
        <f t="shared" si="108"/>
        <v>0</v>
      </c>
      <c r="CA20" s="3">
        <f t="shared" si="109"/>
        <v>0</v>
      </c>
      <c r="CB20" s="3">
        <f t="shared" si="110"/>
        <v>0</v>
      </c>
      <c r="CC20" s="3">
        <f t="shared" si="111"/>
        <v>0</v>
      </c>
      <c r="CD20" s="3">
        <f t="shared" si="112"/>
        <v>0</v>
      </c>
      <c r="CE20" s="3">
        <f t="shared" si="113"/>
        <v>0</v>
      </c>
      <c r="CF20" s="3">
        <f t="shared" si="114"/>
        <v>0</v>
      </c>
    </row>
    <row r="21" spans="1:94" s="3" customFormat="1" hidden="1" x14ac:dyDescent="0.2">
      <c r="A21" s="70"/>
      <c r="B21" s="64"/>
      <c r="C21" s="70" t="s">
        <v>86</v>
      </c>
      <c r="D21" s="70"/>
      <c r="E21" s="114">
        <f>D40-E40</f>
        <v>0</v>
      </c>
      <c r="F21" s="70">
        <f>D40-F40</f>
        <v>0</v>
      </c>
      <c r="G21" s="93">
        <f t="shared" si="60"/>
        <v>0</v>
      </c>
      <c r="H21" s="97">
        <f t="shared" si="115"/>
        <v>0</v>
      </c>
      <c r="I21" s="70">
        <f t="shared" si="115"/>
        <v>0</v>
      </c>
      <c r="J21" s="93">
        <f t="shared" si="61"/>
        <v>0</v>
      </c>
      <c r="K21" s="97">
        <f t="shared" si="116"/>
        <v>0</v>
      </c>
      <c r="L21" s="70">
        <f t="shared" si="116"/>
        <v>0</v>
      </c>
      <c r="M21" s="93">
        <f t="shared" si="62"/>
        <v>0</v>
      </c>
      <c r="N21" s="97">
        <f t="shared" si="117"/>
        <v>0</v>
      </c>
      <c r="O21" s="70">
        <f t="shared" si="117"/>
        <v>0</v>
      </c>
      <c r="P21" s="93">
        <f t="shared" si="63"/>
        <v>0</v>
      </c>
      <c r="Q21" s="97">
        <f t="shared" si="118"/>
        <v>0</v>
      </c>
      <c r="R21" s="70">
        <f t="shared" si="118"/>
        <v>0</v>
      </c>
      <c r="S21" s="93">
        <f t="shared" si="64"/>
        <v>0</v>
      </c>
      <c r="T21" s="97">
        <f t="shared" si="119"/>
        <v>0</v>
      </c>
      <c r="U21" s="70">
        <f t="shared" si="119"/>
        <v>0</v>
      </c>
      <c r="V21" s="93">
        <f t="shared" si="65"/>
        <v>0</v>
      </c>
      <c r="W21" s="97">
        <f t="shared" si="120"/>
        <v>0</v>
      </c>
      <c r="X21" s="70">
        <f t="shared" si="120"/>
        <v>0</v>
      </c>
      <c r="Y21" s="93">
        <f t="shared" si="66"/>
        <v>0</v>
      </c>
      <c r="Z21" s="97">
        <f t="shared" si="121"/>
        <v>0</v>
      </c>
      <c r="AA21" s="70">
        <f t="shared" si="121"/>
        <v>0</v>
      </c>
      <c r="AB21" s="93">
        <f t="shared" si="67"/>
        <v>0</v>
      </c>
      <c r="AC21" s="97">
        <f t="shared" si="122"/>
        <v>0</v>
      </c>
      <c r="AD21" s="70">
        <f t="shared" si="122"/>
        <v>0</v>
      </c>
      <c r="AE21" s="93">
        <f t="shared" si="68"/>
        <v>0</v>
      </c>
      <c r="AF21" s="97">
        <f t="shared" si="123"/>
        <v>0</v>
      </c>
      <c r="AG21" s="70">
        <f t="shared" si="123"/>
        <v>0</v>
      </c>
      <c r="AH21" s="93">
        <f t="shared" si="69"/>
        <v>0</v>
      </c>
      <c r="AI21" s="97">
        <f t="shared" si="124"/>
        <v>0</v>
      </c>
      <c r="AJ21" s="70">
        <f t="shared" si="124"/>
        <v>0</v>
      </c>
      <c r="AK21" s="93">
        <f t="shared" si="70"/>
        <v>0</v>
      </c>
      <c r="AL21" s="97">
        <f t="shared" si="125"/>
        <v>0</v>
      </c>
      <c r="AM21" s="63">
        <f t="shared" si="125"/>
        <v>0</v>
      </c>
      <c r="AN21" s="93">
        <f t="shared" si="71"/>
        <v>0</v>
      </c>
      <c r="AO21" s="94">
        <f t="shared" si="73"/>
        <v>0</v>
      </c>
      <c r="AP21" s="95">
        <f t="shared" si="74"/>
        <v>0</v>
      </c>
      <c r="AQ21" s="96">
        <f t="shared" si="75"/>
        <v>0</v>
      </c>
      <c r="AR21" s="6" t="str">
        <f t="shared" si="76"/>
        <v>Ændring kortfristet gæld</v>
      </c>
      <c r="AT21" s="9">
        <v>99334</v>
      </c>
      <c r="AU21" s="37">
        <f t="shared" si="77"/>
        <v>0</v>
      </c>
      <c r="AV21" s="9">
        <f t="shared" si="78"/>
        <v>-99334</v>
      </c>
      <c r="AW21" s="3">
        <f t="shared" si="79"/>
        <v>0</v>
      </c>
      <c r="AX21" s="3">
        <f t="shared" si="80"/>
        <v>0</v>
      </c>
      <c r="AY21" s="3">
        <f t="shared" si="81"/>
        <v>0</v>
      </c>
      <c r="AZ21" s="3">
        <f t="shared" si="82"/>
        <v>0</v>
      </c>
      <c r="BA21" s="3">
        <f t="shared" si="83"/>
        <v>0</v>
      </c>
      <c r="BB21" s="3">
        <f t="shared" si="84"/>
        <v>0</v>
      </c>
      <c r="BC21" s="3">
        <f t="shared" si="85"/>
        <v>0</v>
      </c>
      <c r="BD21" s="3">
        <f t="shared" si="86"/>
        <v>0</v>
      </c>
      <c r="BE21" s="3">
        <f t="shared" si="87"/>
        <v>0</v>
      </c>
      <c r="BF21" s="3">
        <f t="shared" si="88"/>
        <v>0</v>
      </c>
      <c r="BG21" s="3">
        <f t="shared" si="89"/>
        <v>0</v>
      </c>
      <c r="BH21" s="3">
        <f t="shared" si="90"/>
        <v>0</v>
      </c>
      <c r="BI21" s="3">
        <f t="shared" si="91"/>
        <v>0</v>
      </c>
      <c r="BJ21" s="3">
        <f t="shared" si="92"/>
        <v>0</v>
      </c>
      <c r="BK21" s="3">
        <f t="shared" si="93"/>
        <v>0</v>
      </c>
      <c r="BL21" s="3">
        <f t="shared" si="94"/>
        <v>0</v>
      </c>
      <c r="BM21" s="3">
        <f t="shared" si="95"/>
        <v>0</v>
      </c>
      <c r="BN21" s="3">
        <f t="shared" si="96"/>
        <v>0</v>
      </c>
      <c r="BO21" s="3">
        <f t="shared" si="97"/>
        <v>0</v>
      </c>
      <c r="BP21" s="3">
        <f t="shared" si="98"/>
        <v>0</v>
      </c>
      <c r="BQ21" s="3">
        <f t="shared" si="99"/>
        <v>0</v>
      </c>
      <c r="BR21" s="3">
        <f t="shared" si="100"/>
        <v>0</v>
      </c>
      <c r="BS21" s="3">
        <f t="shared" si="101"/>
        <v>0</v>
      </c>
      <c r="BT21" s="3">
        <f t="shared" si="102"/>
        <v>0</v>
      </c>
      <c r="BU21" s="3">
        <f t="shared" si="103"/>
        <v>0</v>
      </c>
      <c r="BV21" s="3">
        <f t="shared" si="104"/>
        <v>0</v>
      </c>
      <c r="BW21" s="3">
        <f t="shared" si="105"/>
        <v>0</v>
      </c>
      <c r="BX21" s="3">
        <f t="shared" si="106"/>
        <v>0</v>
      </c>
      <c r="BY21" s="3">
        <f t="shared" si="107"/>
        <v>0</v>
      </c>
      <c r="BZ21" s="3">
        <f t="shared" si="108"/>
        <v>0</v>
      </c>
      <c r="CA21" s="3">
        <f t="shared" si="109"/>
        <v>0</v>
      </c>
      <c r="CB21" s="3">
        <f t="shared" si="110"/>
        <v>0</v>
      </c>
      <c r="CC21" s="3">
        <f t="shared" si="111"/>
        <v>0</v>
      </c>
      <c r="CD21" s="3">
        <f t="shared" si="112"/>
        <v>0</v>
      </c>
      <c r="CE21" s="3">
        <f t="shared" si="113"/>
        <v>0</v>
      </c>
      <c r="CF21" s="3">
        <f t="shared" si="114"/>
        <v>0</v>
      </c>
    </row>
    <row r="22" spans="1:94" s="3" customFormat="1" hidden="1" x14ac:dyDescent="0.2">
      <c r="A22" s="70"/>
      <c r="B22" s="64"/>
      <c r="C22" s="70" t="s">
        <v>87</v>
      </c>
      <c r="D22" s="70"/>
      <c r="E22" s="114">
        <f>D41-E41</f>
        <v>0</v>
      </c>
      <c r="F22" s="70">
        <f>D41-F41</f>
        <v>0</v>
      </c>
      <c r="G22" s="93">
        <f t="shared" si="60"/>
        <v>0</v>
      </c>
      <c r="H22" s="97">
        <f t="shared" si="115"/>
        <v>0</v>
      </c>
      <c r="I22" s="70">
        <f t="shared" si="115"/>
        <v>0</v>
      </c>
      <c r="J22" s="93">
        <f t="shared" si="61"/>
        <v>0</v>
      </c>
      <c r="K22" s="97">
        <f t="shared" si="116"/>
        <v>0</v>
      </c>
      <c r="L22" s="70">
        <f t="shared" si="116"/>
        <v>0</v>
      </c>
      <c r="M22" s="93">
        <f t="shared" si="62"/>
        <v>0</v>
      </c>
      <c r="N22" s="97">
        <f t="shared" si="117"/>
        <v>0</v>
      </c>
      <c r="O22" s="70">
        <f t="shared" si="117"/>
        <v>0</v>
      </c>
      <c r="P22" s="93">
        <f t="shared" si="63"/>
        <v>0</v>
      </c>
      <c r="Q22" s="97">
        <f t="shared" si="118"/>
        <v>0</v>
      </c>
      <c r="R22" s="70">
        <f t="shared" si="118"/>
        <v>0</v>
      </c>
      <c r="S22" s="93">
        <f t="shared" si="64"/>
        <v>0</v>
      </c>
      <c r="T22" s="97">
        <f t="shared" si="119"/>
        <v>0</v>
      </c>
      <c r="U22" s="70">
        <f t="shared" si="119"/>
        <v>0</v>
      </c>
      <c r="V22" s="93">
        <f t="shared" si="65"/>
        <v>0</v>
      </c>
      <c r="W22" s="97">
        <f t="shared" si="120"/>
        <v>0</v>
      </c>
      <c r="X22" s="70">
        <f t="shared" si="120"/>
        <v>0</v>
      </c>
      <c r="Y22" s="93">
        <f t="shared" si="66"/>
        <v>0</v>
      </c>
      <c r="Z22" s="97">
        <f t="shared" si="121"/>
        <v>0</v>
      </c>
      <c r="AA22" s="70">
        <f t="shared" si="121"/>
        <v>0</v>
      </c>
      <c r="AB22" s="93">
        <f t="shared" si="67"/>
        <v>0</v>
      </c>
      <c r="AC22" s="97">
        <f t="shared" si="122"/>
        <v>0</v>
      </c>
      <c r="AD22" s="70">
        <f t="shared" si="122"/>
        <v>0</v>
      </c>
      <c r="AE22" s="93">
        <f t="shared" si="68"/>
        <v>0</v>
      </c>
      <c r="AF22" s="97">
        <f t="shared" si="123"/>
        <v>0</v>
      </c>
      <c r="AG22" s="70">
        <f t="shared" si="123"/>
        <v>0</v>
      </c>
      <c r="AH22" s="93">
        <f t="shared" si="69"/>
        <v>0</v>
      </c>
      <c r="AI22" s="97">
        <f t="shared" si="124"/>
        <v>0</v>
      </c>
      <c r="AJ22" s="70">
        <f t="shared" si="124"/>
        <v>0</v>
      </c>
      <c r="AK22" s="93">
        <f t="shared" si="70"/>
        <v>0</v>
      </c>
      <c r="AL22" s="97">
        <f t="shared" si="125"/>
        <v>0</v>
      </c>
      <c r="AM22" s="63">
        <f t="shared" si="125"/>
        <v>0</v>
      </c>
      <c r="AN22" s="93">
        <f t="shared" si="71"/>
        <v>0</v>
      </c>
      <c r="AO22" s="94">
        <f t="shared" si="73"/>
        <v>0</v>
      </c>
      <c r="AP22" s="95">
        <f t="shared" si="74"/>
        <v>0</v>
      </c>
      <c r="AQ22" s="96">
        <f t="shared" si="75"/>
        <v>0</v>
      </c>
      <c r="AR22" s="6" t="str">
        <f t="shared" si="76"/>
        <v>Ændring skyldig moms</v>
      </c>
      <c r="AT22" s="9">
        <v>4554</v>
      </c>
      <c r="AU22" s="37">
        <f>INDEX(AW22:BH22,1,$I$1)</f>
        <v>0</v>
      </c>
      <c r="AV22" s="9">
        <f t="shared" si="78"/>
        <v>-4554</v>
      </c>
      <c r="AW22" s="3">
        <f t="shared" si="79"/>
        <v>0</v>
      </c>
      <c r="AX22" s="3">
        <f t="shared" si="80"/>
        <v>0</v>
      </c>
      <c r="AY22" s="3">
        <f t="shared" si="81"/>
        <v>0</v>
      </c>
      <c r="AZ22" s="3">
        <f t="shared" si="82"/>
        <v>0</v>
      </c>
      <c r="BA22" s="3">
        <f t="shared" si="83"/>
        <v>0</v>
      </c>
      <c r="BB22" s="3">
        <f t="shared" si="84"/>
        <v>0</v>
      </c>
      <c r="BC22" s="3">
        <f t="shared" si="85"/>
        <v>0</v>
      </c>
      <c r="BD22" s="3">
        <f t="shared" si="86"/>
        <v>0</v>
      </c>
      <c r="BE22" s="3">
        <f t="shared" si="87"/>
        <v>0</v>
      </c>
      <c r="BF22" s="3">
        <f>AL22+AI22+AG22+AD22+AA22+X22+U22+R22+O22+L22+I22+F22</f>
        <v>0</v>
      </c>
      <c r="BG22" s="3">
        <f t="shared" si="89"/>
        <v>0</v>
      </c>
      <c r="BH22" s="3">
        <f t="shared" si="90"/>
        <v>0</v>
      </c>
      <c r="BI22" s="3">
        <f t="shared" si="91"/>
        <v>0</v>
      </c>
      <c r="BJ22" s="3">
        <f t="shared" si="92"/>
        <v>0</v>
      </c>
      <c r="BK22" s="3">
        <f t="shared" si="93"/>
        <v>0</v>
      </c>
      <c r="BL22" s="3">
        <f t="shared" si="94"/>
        <v>0</v>
      </c>
      <c r="BM22" s="3">
        <f t="shared" si="95"/>
        <v>0</v>
      </c>
      <c r="BN22" s="3">
        <f t="shared" si="96"/>
        <v>0</v>
      </c>
      <c r="BO22" s="3">
        <f t="shared" si="97"/>
        <v>0</v>
      </c>
      <c r="BP22" s="3">
        <f t="shared" si="98"/>
        <v>0</v>
      </c>
      <c r="BQ22" s="3">
        <f t="shared" si="99"/>
        <v>0</v>
      </c>
      <c r="BR22" s="3">
        <f t="shared" si="100"/>
        <v>0</v>
      </c>
      <c r="BS22" s="3">
        <f t="shared" si="101"/>
        <v>0</v>
      </c>
      <c r="BT22" s="3">
        <f t="shared" si="102"/>
        <v>0</v>
      </c>
      <c r="BU22" s="3">
        <f t="shared" si="103"/>
        <v>0</v>
      </c>
      <c r="BV22" s="3">
        <f t="shared" si="104"/>
        <v>0</v>
      </c>
      <c r="BW22" s="3">
        <f t="shared" si="105"/>
        <v>0</v>
      </c>
      <c r="BX22" s="3">
        <f t="shared" si="106"/>
        <v>0</v>
      </c>
      <c r="BY22" s="3">
        <f t="shared" si="107"/>
        <v>0</v>
      </c>
      <c r="BZ22" s="3">
        <f t="shared" si="108"/>
        <v>0</v>
      </c>
      <c r="CA22" s="3">
        <f t="shared" si="109"/>
        <v>0</v>
      </c>
      <c r="CB22" s="3">
        <f t="shared" si="110"/>
        <v>0</v>
      </c>
      <c r="CC22" s="3">
        <f t="shared" si="111"/>
        <v>0</v>
      </c>
      <c r="CD22" s="3">
        <f t="shared" si="112"/>
        <v>0</v>
      </c>
      <c r="CE22" s="3">
        <f t="shared" si="113"/>
        <v>0</v>
      </c>
      <c r="CF22" s="3">
        <f t="shared" si="114"/>
        <v>0</v>
      </c>
    </row>
    <row r="23" spans="1:94" s="3" customFormat="1" hidden="1" x14ac:dyDescent="0.2">
      <c r="A23" s="70"/>
      <c r="B23" s="64"/>
      <c r="C23" s="70" t="s">
        <v>88</v>
      </c>
      <c r="D23" s="70"/>
      <c r="E23" s="114">
        <f>D42-E42</f>
        <v>0</v>
      </c>
      <c r="F23" s="70">
        <f>F42-D42</f>
        <v>0</v>
      </c>
      <c r="G23" s="93">
        <f t="shared" si="60"/>
        <v>0</v>
      </c>
      <c r="H23" s="97">
        <f>E42-H42</f>
        <v>0</v>
      </c>
      <c r="I23" s="70">
        <f>I42-F42</f>
        <v>0</v>
      </c>
      <c r="J23" s="93">
        <f t="shared" si="61"/>
        <v>0</v>
      </c>
      <c r="K23" s="97">
        <f>H42-K42</f>
        <v>0</v>
      </c>
      <c r="L23" s="70">
        <f>L42-I42</f>
        <v>0</v>
      </c>
      <c r="M23" s="93">
        <f t="shared" si="62"/>
        <v>0</v>
      </c>
      <c r="N23" s="97">
        <f>K42-N42</f>
        <v>0</v>
      </c>
      <c r="O23" s="70">
        <f>O42-L42</f>
        <v>0</v>
      </c>
      <c r="P23" s="93">
        <f t="shared" si="63"/>
        <v>0</v>
      </c>
      <c r="Q23" s="97">
        <f>N42-Q42</f>
        <v>0</v>
      </c>
      <c r="R23" s="70">
        <f>-R42+O42</f>
        <v>0</v>
      </c>
      <c r="S23" s="93">
        <f t="shared" si="64"/>
        <v>0</v>
      </c>
      <c r="T23" s="97">
        <f>Q42-T42</f>
        <v>0</v>
      </c>
      <c r="U23" s="70">
        <f>-U42+R42</f>
        <v>0</v>
      </c>
      <c r="V23" s="93">
        <f t="shared" si="65"/>
        <v>0</v>
      </c>
      <c r="W23" s="97">
        <f>T42-W42</f>
        <v>0</v>
      </c>
      <c r="X23" s="70">
        <f>-X42+U42</f>
        <v>0</v>
      </c>
      <c r="Y23" s="93">
        <f t="shared" si="66"/>
        <v>0</v>
      </c>
      <c r="Z23" s="97">
        <f>W42-Z42</f>
        <v>0</v>
      </c>
      <c r="AA23" s="70">
        <f>-AA42+X42</f>
        <v>0</v>
      </c>
      <c r="AB23" s="93">
        <f t="shared" si="67"/>
        <v>0</v>
      </c>
      <c r="AC23" s="97">
        <f>Z42-AC42</f>
        <v>0</v>
      </c>
      <c r="AD23" s="70">
        <f>-AD42+AA42</f>
        <v>0</v>
      </c>
      <c r="AE23" s="93">
        <f t="shared" si="68"/>
        <v>0</v>
      </c>
      <c r="AF23" s="97">
        <f>AC42-AF42</f>
        <v>0</v>
      </c>
      <c r="AG23" s="70">
        <f>-AG42+AD42</f>
        <v>0</v>
      </c>
      <c r="AH23" s="93">
        <f t="shared" si="69"/>
        <v>0</v>
      </c>
      <c r="AI23" s="97">
        <f>AF42-AI42</f>
        <v>0</v>
      </c>
      <c r="AJ23" s="70">
        <f>-AJ42+AG42</f>
        <v>0</v>
      </c>
      <c r="AK23" s="93">
        <f t="shared" si="70"/>
        <v>0</v>
      </c>
      <c r="AL23" s="97">
        <f>AI42-AL42</f>
        <v>0</v>
      </c>
      <c r="AM23" s="63">
        <f>-AM42+AJ42</f>
        <v>0</v>
      </c>
      <c r="AN23" s="93">
        <f t="shared" si="71"/>
        <v>0</v>
      </c>
      <c r="AO23" s="94">
        <f t="shared" si="73"/>
        <v>0</v>
      </c>
      <c r="AP23" s="95">
        <f t="shared" si="74"/>
        <v>0</v>
      </c>
      <c r="AQ23" s="96">
        <f t="shared" si="75"/>
        <v>0</v>
      </c>
      <c r="AR23" s="6" t="str">
        <f t="shared" si="76"/>
        <v>Ændring skyldige lønomkostninger</v>
      </c>
      <c r="AT23" s="9">
        <f>BT23</f>
        <v>0</v>
      </c>
      <c r="AU23" s="37">
        <f t="shared" si="77"/>
        <v>0</v>
      </c>
      <c r="AV23" s="9">
        <f t="shared" si="78"/>
        <v>0</v>
      </c>
      <c r="AW23" s="3">
        <f t="shared" si="79"/>
        <v>0</v>
      </c>
      <c r="AX23" s="3">
        <f t="shared" si="80"/>
        <v>0</v>
      </c>
      <c r="AY23" s="3">
        <f t="shared" si="81"/>
        <v>0</v>
      </c>
      <c r="AZ23" s="3">
        <f t="shared" si="82"/>
        <v>0</v>
      </c>
      <c r="BA23" s="3">
        <f t="shared" si="83"/>
        <v>0</v>
      </c>
      <c r="BB23" s="3">
        <f t="shared" si="84"/>
        <v>0</v>
      </c>
      <c r="BC23" s="3">
        <f t="shared" si="85"/>
        <v>0</v>
      </c>
      <c r="BD23" s="3">
        <f t="shared" si="86"/>
        <v>0</v>
      </c>
      <c r="BE23" s="3">
        <f t="shared" si="87"/>
        <v>0</v>
      </c>
      <c r="BF23" s="3">
        <f t="shared" si="88"/>
        <v>0</v>
      </c>
      <c r="BG23" s="3">
        <f t="shared" si="89"/>
        <v>0</v>
      </c>
      <c r="BH23" s="3">
        <f t="shared" si="90"/>
        <v>0</v>
      </c>
      <c r="BI23" s="3">
        <f t="shared" si="91"/>
        <v>0</v>
      </c>
      <c r="BJ23" s="3">
        <f t="shared" si="92"/>
        <v>0</v>
      </c>
      <c r="BK23" s="3">
        <f t="shared" si="93"/>
        <v>0</v>
      </c>
      <c r="BL23" s="3">
        <f t="shared" si="94"/>
        <v>0</v>
      </c>
      <c r="BM23" s="3">
        <f t="shared" si="95"/>
        <v>0</v>
      </c>
      <c r="BN23" s="3">
        <f t="shared" si="96"/>
        <v>0</v>
      </c>
      <c r="BO23" s="3">
        <f t="shared" si="97"/>
        <v>0</v>
      </c>
      <c r="BP23" s="3">
        <f t="shared" si="98"/>
        <v>0</v>
      </c>
      <c r="BQ23" s="3">
        <f t="shared" si="99"/>
        <v>0</v>
      </c>
      <c r="BR23" s="3">
        <f t="shared" si="100"/>
        <v>0</v>
      </c>
      <c r="BS23" s="3">
        <f t="shared" si="101"/>
        <v>0</v>
      </c>
      <c r="BT23" s="3">
        <f t="shared" si="102"/>
        <v>0</v>
      </c>
      <c r="BU23" s="3">
        <f t="shared" si="103"/>
        <v>0</v>
      </c>
      <c r="BV23" s="3">
        <f t="shared" si="104"/>
        <v>0</v>
      </c>
      <c r="BW23" s="3">
        <f t="shared" si="105"/>
        <v>0</v>
      </c>
      <c r="BX23" s="3">
        <f t="shared" si="106"/>
        <v>0</v>
      </c>
      <c r="BY23" s="3">
        <f t="shared" si="107"/>
        <v>0</v>
      </c>
      <c r="BZ23" s="3">
        <f t="shared" si="108"/>
        <v>0</v>
      </c>
      <c r="CA23" s="3">
        <f t="shared" si="109"/>
        <v>0</v>
      </c>
      <c r="CB23" s="3">
        <f t="shared" si="110"/>
        <v>0</v>
      </c>
      <c r="CC23" s="3">
        <f t="shared" si="111"/>
        <v>0</v>
      </c>
      <c r="CD23" s="3">
        <f t="shared" si="112"/>
        <v>0</v>
      </c>
      <c r="CE23" s="3">
        <f t="shared" si="113"/>
        <v>0</v>
      </c>
      <c r="CF23" s="3">
        <f t="shared" si="114"/>
        <v>0</v>
      </c>
    </row>
    <row r="24" spans="1:94" s="3" customFormat="1" hidden="1" x14ac:dyDescent="0.2">
      <c r="A24" s="70"/>
      <c r="B24" s="64"/>
      <c r="C24" s="70"/>
      <c r="D24" s="70"/>
      <c r="E24" s="114"/>
      <c r="F24" s="70"/>
      <c r="G24" s="93"/>
      <c r="H24" s="97"/>
      <c r="I24" s="70"/>
      <c r="J24" s="93">
        <f t="shared" si="61"/>
        <v>0</v>
      </c>
      <c r="K24" s="97"/>
      <c r="L24" s="70"/>
      <c r="M24" s="93"/>
      <c r="N24" s="97"/>
      <c r="O24" s="70"/>
      <c r="P24" s="93"/>
      <c r="Q24" s="97"/>
      <c r="R24" s="70"/>
      <c r="S24" s="93"/>
      <c r="T24" s="97"/>
      <c r="U24" s="70"/>
      <c r="V24" s="93"/>
      <c r="W24" s="97"/>
      <c r="X24" s="70"/>
      <c r="Y24" s="93">
        <f t="shared" si="66"/>
        <v>0</v>
      </c>
      <c r="Z24" s="97"/>
      <c r="AA24" s="70"/>
      <c r="AB24" s="93">
        <f t="shared" si="67"/>
        <v>0</v>
      </c>
      <c r="AC24" s="97"/>
      <c r="AD24" s="70"/>
      <c r="AE24" s="93">
        <f t="shared" si="68"/>
        <v>0</v>
      </c>
      <c r="AF24" s="97"/>
      <c r="AG24" s="70"/>
      <c r="AH24" s="93">
        <f t="shared" si="69"/>
        <v>0</v>
      </c>
      <c r="AI24" s="97"/>
      <c r="AJ24" s="70"/>
      <c r="AK24" s="93">
        <f t="shared" si="70"/>
        <v>0</v>
      </c>
      <c r="AL24" s="97"/>
      <c r="AM24" s="63"/>
      <c r="AN24" s="93">
        <f t="shared" si="71"/>
        <v>0</v>
      </c>
      <c r="AO24" s="112">
        <f t="shared" si="72"/>
        <v>0</v>
      </c>
      <c r="AP24" s="115">
        <f t="shared" si="72"/>
        <v>0</v>
      </c>
      <c r="AQ24" s="96">
        <f t="shared" si="75"/>
        <v>0</v>
      </c>
      <c r="AR24" s="6">
        <f t="shared" si="76"/>
        <v>0</v>
      </c>
      <c r="AT24" s="9">
        <v>0</v>
      </c>
      <c r="AU24" s="37">
        <f t="shared" si="77"/>
        <v>0</v>
      </c>
      <c r="AV24" s="9">
        <f t="shared" si="78"/>
        <v>0</v>
      </c>
      <c r="AW24" s="3">
        <f t="shared" si="79"/>
        <v>0</v>
      </c>
      <c r="AX24" s="3">
        <f t="shared" si="80"/>
        <v>0</v>
      </c>
      <c r="AY24" s="3">
        <f t="shared" si="81"/>
        <v>0</v>
      </c>
      <c r="AZ24" s="3">
        <f t="shared" si="82"/>
        <v>0</v>
      </c>
      <c r="BA24" s="3">
        <f t="shared" si="83"/>
        <v>0</v>
      </c>
      <c r="BB24" s="3">
        <f t="shared" si="84"/>
        <v>0</v>
      </c>
      <c r="BC24" s="3">
        <f t="shared" si="85"/>
        <v>0</v>
      </c>
      <c r="BD24" s="3">
        <f t="shared" si="86"/>
        <v>0</v>
      </c>
      <c r="BE24" s="3">
        <f t="shared" si="87"/>
        <v>0</v>
      </c>
      <c r="BF24" s="3">
        <f t="shared" si="88"/>
        <v>0</v>
      </c>
      <c r="BG24" s="3">
        <f t="shared" si="89"/>
        <v>0</v>
      </c>
      <c r="BH24" s="3">
        <f t="shared" si="90"/>
        <v>0</v>
      </c>
    </row>
    <row r="25" spans="1:94" s="3" customFormat="1" hidden="1" x14ac:dyDescent="0.2">
      <c r="A25" s="70"/>
      <c r="B25" s="116"/>
      <c r="C25" s="70" t="s">
        <v>6</v>
      </c>
      <c r="D25" s="70"/>
      <c r="E25" s="114">
        <f>SUM(E15:E24)</f>
        <v>0</v>
      </c>
      <c r="F25" s="70">
        <f>SUM(F15:F24)</f>
        <v>0</v>
      </c>
      <c r="G25" s="93">
        <f t="shared" si="60"/>
        <v>0</v>
      </c>
      <c r="H25" s="97">
        <f>SUM(H15:H24)</f>
        <v>0</v>
      </c>
      <c r="I25" s="70">
        <f>SUM(I15:I24)</f>
        <v>0</v>
      </c>
      <c r="J25" s="93">
        <f t="shared" si="61"/>
        <v>0</v>
      </c>
      <c r="K25" s="97">
        <f>SUM(K15:K24)</f>
        <v>0</v>
      </c>
      <c r="L25" s="70">
        <f>SUM(L15:L24)</f>
        <v>0</v>
      </c>
      <c r="M25" s="93">
        <f t="shared" ref="M25:M26" si="130">L25-K25</f>
        <v>0</v>
      </c>
      <c r="N25" s="97">
        <f>SUM(N15:N24)</f>
        <v>0</v>
      </c>
      <c r="O25" s="70">
        <f>SUM(O15:O24)</f>
        <v>0</v>
      </c>
      <c r="P25" s="93">
        <f t="shared" ref="P25:P26" si="131">O25-N25</f>
        <v>0</v>
      </c>
      <c r="Q25" s="97">
        <f>SUM(Q15:Q24)</f>
        <v>0</v>
      </c>
      <c r="R25" s="70">
        <f>SUM(R15:R24)</f>
        <v>0</v>
      </c>
      <c r="S25" s="93">
        <f t="shared" ref="S25:S26" si="132">R25-Q25</f>
        <v>0</v>
      </c>
      <c r="T25" s="97">
        <f>SUM(T15:T24)</f>
        <v>0</v>
      </c>
      <c r="U25" s="70">
        <f>SUM(U15:U24)</f>
        <v>0</v>
      </c>
      <c r="V25" s="93">
        <f t="shared" ref="V25:V26" si="133">U25-T25</f>
        <v>0</v>
      </c>
      <c r="W25" s="97">
        <f>SUM(W15:W24)</f>
        <v>0</v>
      </c>
      <c r="X25" s="70">
        <f>SUM(X15:X24)</f>
        <v>0</v>
      </c>
      <c r="Y25" s="93">
        <f t="shared" si="66"/>
        <v>0</v>
      </c>
      <c r="Z25" s="97">
        <f>SUM(Z15:Z24)</f>
        <v>0</v>
      </c>
      <c r="AA25" s="70">
        <f>SUM(AA15:AA24)</f>
        <v>0</v>
      </c>
      <c r="AB25" s="93">
        <f t="shared" si="67"/>
        <v>0</v>
      </c>
      <c r="AC25" s="97">
        <f>SUM(AC15:AC24)</f>
        <v>0</v>
      </c>
      <c r="AD25" s="70">
        <f>SUM(AD15:AD24)</f>
        <v>0</v>
      </c>
      <c r="AE25" s="93">
        <f t="shared" si="68"/>
        <v>0</v>
      </c>
      <c r="AF25" s="97">
        <f>SUM(AF15:AF24)</f>
        <v>0</v>
      </c>
      <c r="AG25" s="70">
        <f>SUM(AG15:AG24)</f>
        <v>0</v>
      </c>
      <c r="AH25" s="93">
        <f t="shared" si="69"/>
        <v>0</v>
      </c>
      <c r="AI25" s="97">
        <f>SUM(AI15:AI24)</f>
        <v>0</v>
      </c>
      <c r="AJ25" s="70">
        <f>SUM(AJ15:AJ24)</f>
        <v>0</v>
      </c>
      <c r="AK25" s="93">
        <f t="shared" si="70"/>
        <v>0</v>
      </c>
      <c r="AL25" s="97">
        <f>SUM(AL15:AL24)</f>
        <v>0</v>
      </c>
      <c r="AM25" s="63">
        <f>SUM(AM15:AM24)</f>
        <v>0</v>
      </c>
      <c r="AN25" s="93">
        <f t="shared" si="71"/>
        <v>0</v>
      </c>
      <c r="AO25" s="94">
        <f>SUM(AO15:AO24)</f>
        <v>0</v>
      </c>
      <c r="AP25" s="95">
        <f>SUM(AP15:AP24)</f>
        <v>0</v>
      </c>
      <c r="AQ25" s="96">
        <f>AP25-AO25</f>
        <v>0</v>
      </c>
      <c r="AR25" s="6" t="s">
        <v>23</v>
      </c>
      <c r="AT25" s="9">
        <f>SUM(AT15:AT24)</f>
        <v>165140</v>
      </c>
      <c r="AU25" s="37">
        <f>SUM(AU15:AU24)</f>
        <v>0</v>
      </c>
      <c r="AV25" s="9">
        <f>AU25-AT25</f>
        <v>-165140</v>
      </c>
      <c r="AW25" s="3">
        <f t="shared" si="79"/>
        <v>0</v>
      </c>
      <c r="AX25" s="3">
        <f t="shared" si="80"/>
        <v>0</v>
      </c>
      <c r="AY25" s="3">
        <f t="shared" si="81"/>
        <v>0</v>
      </c>
      <c r="AZ25" s="3">
        <f t="shared" si="82"/>
        <v>0</v>
      </c>
      <c r="BA25" s="3">
        <f t="shared" si="83"/>
        <v>0</v>
      </c>
      <c r="BB25" s="3">
        <f t="shared" si="84"/>
        <v>0</v>
      </c>
      <c r="BC25" s="3">
        <f t="shared" si="85"/>
        <v>0</v>
      </c>
      <c r="BD25" s="3">
        <f t="shared" si="86"/>
        <v>0</v>
      </c>
      <c r="BE25" s="3">
        <f t="shared" si="87"/>
        <v>0</v>
      </c>
      <c r="BF25" s="3">
        <f t="shared" si="88"/>
        <v>0</v>
      </c>
      <c r="BG25" s="3">
        <f t="shared" si="89"/>
        <v>0</v>
      </c>
      <c r="BH25" s="3">
        <f t="shared" si="90"/>
        <v>0</v>
      </c>
    </row>
    <row r="26" spans="1:94" s="3" customFormat="1" hidden="1" x14ac:dyDescent="0.2">
      <c r="A26" s="70"/>
      <c r="B26" s="70"/>
      <c r="C26" s="70" t="s">
        <v>5</v>
      </c>
      <c r="D26" s="70"/>
      <c r="E26" s="114">
        <f>IF($F$1=3,E53,E52)</f>
        <v>0</v>
      </c>
      <c r="F26" s="70">
        <f>D28+F25</f>
        <v>0</v>
      </c>
      <c r="G26" s="93">
        <f t="shared" si="60"/>
        <v>0</v>
      </c>
      <c r="H26" s="97">
        <f>IF($F$1=3,H53,H52)</f>
        <v>0</v>
      </c>
      <c r="I26" s="70">
        <f>F28+I25</f>
        <v>0</v>
      </c>
      <c r="J26" s="93">
        <f t="shared" si="61"/>
        <v>0</v>
      </c>
      <c r="K26" s="97">
        <f>IF($F$1=3,K53,K52)</f>
        <v>0</v>
      </c>
      <c r="L26" s="70">
        <f>I28+L25</f>
        <v>0</v>
      </c>
      <c r="M26" s="93">
        <f t="shared" si="130"/>
        <v>0</v>
      </c>
      <c r="N26" s="97">
        <f>IF($F$1=3,N53,N52)</f>
        <v>0</v>
      </c>
      <c r="O26" s="70">
        <f>L28+O25</f>
        <v>0</v>
      </c>
      <c r="P26" s="93">
        <f t="shared" si="131"/>
        <v>0</v>
      </c>
      <c r="Q26" s="97">
        <f>IF($F$1=3,Q53,Q52)</f>
        <v>0</v>
      </c>
      <c r="R26" s="70">
        <f>O28+R25</f>
        <v>0</v>
      </c>
      <c r="S26" s="93">
        <f t="shared" si="132"/>
        <v>0</v>
      </c>
      <c r="T26" s="97">
        <f>IF($F$1=3,T53,T52)</f>
        <v>0</v>
      </c>
      <c r="U26" s="70">
        <f>R28+U25</f>
        <v>0</v>
      </c>
      <c r="V26" s="93">
        <f t="shared" si="133"/>
        <v>0</v>
      </c>
      <c r="W26" s="97">
        <f>IF($F$1=3,W53,W52)</f>
        <v>0</v>
      </c>
      <c r="X26" s="70">
        <f>U28+X25</f>
        <v>0</v>
      </c>
      <c r="Y26" s="93">
        <f t="shared" si="66"/>
        <v>0</v>
      </c>
      <c r="Z26" s="97">
        <f>IF($F$1=3,Z53,Z52)</f>
        <v>0</v>
      </c>
      <c r="AA26" s="70">
        <f>X28+AA25</f>
        <v>0</v>
      </c>
      <c r="AB26" s="93">
        <f t="shared" si="67"/>
        <v>0</v>
      </c>
      <c r="AC26" s="97">
        <f>IF($F$1=3,AC53,AC52)</f>
        <v>0</v>
      </c>
      <c r="AD26" s="70">
        <f>AA28+AD25</f>
        <v>0</v>
      </c>
      <c r="AE26" s="93">
        <f t="shared" si="68"/>
        <v>0</v>
      </c>
      <c r="AF26" s="97">
        <f>IF($F$1=3,AF53,AF52)</f>
        <v>0</v>
      </c>
      <c r="AG26" s="70">
        <f>AD28+AG25</f>
        <v>0</v>
      </c>
      <c r="AH26" s="93">
        <f t="shared" si="69"/>
        <v>0</v>
      </c>
      <c r="AI26" s="97">
        <f>IF($F$1=3,AI53,AI52)</f>
        <v>0</v>
      </c>
      <c r="AJ26" s="70">
        <f>AG28+AJ25</f>
        <v>0</v>
      </c>
      <c r="AK26" s="93">
        <f t="shared" si="70"/>
        <v>0</v>
      </c>
      <c r="AL26" s="97">
        <f>IF($F$1=3,AL53,AL52)</f>
        <v>0</v>
      </c>
      <c r="AM26" s="63">
        <f>AJ28+AM25</f>
        <v>0</v>
      </c>
      <c r="AN26" s="93">
        <f t="shared" si="71"/>
        <v>0</v>
      </c>
      <c r="AO26" s="94"/>
      <c r="AP26" s="95"/>
      <c r="AQ26" s="96">
        <f>AO26-AP26</f>
        <v>0</v>
      </c>
      <c r="AT26" s="9"/>
      <c r="AU26" s="37"/>
      <c r="AV26" s="9">
        <f>AT26-AU26</f>
        <v>0</v>
      </c>
      <c r="AW26" s="3">
        <f>F26</f>
        <v>0</v>
      </c>
      <c r="AX26" s="3">
        <f>I26</f>
        <v>0</v>
      </c>
      <c r="AY26" s="3">
        <f>L26</f>
        <v>0</v>
      </c>
      <c r="AZ26" s="3">
        <f>O26</f>
        <v>0</v>
      </c>
      <c r="BA26" s="3">
        <f>R26</f>
        <v>0</v>
      </c>
      <c r="BB26" s="3">
        <f>U26</f>
        <v>0</v>
      </c>
      <c r="BC26" s="3">
        <f>X26</f>
        <v>0</v>
      </c>
      <c r="BD26" s="3">
        <f>AA26</f>
        <v>0</v>
      </c>
      <c r="BE26" s="3">
        <f>AD26</f>
        <v>0</v>
      </c>
      <c r="BF26" s="3">
        <f>AG26</f>
        <v>0</v>
      </c>
      <c r="BG26" s="3">
        <f>AJ26</f>
        <v>0</v>
      </c>
      <c r="BH26" s="3">
        <f>AM26</f>
        <v>0</v>
      </c>
    </row>
    <row r="27" spans="1:94" s="3" customFormat="1" hidden="1" x14ac:dyDescent="0.2">
      <c r="A27" s="70"/>
      <c r="B27" s="64"/>
      <c r="C27" s="70" t="s">
        <v>4</v>
      </c>
      <c r="D27" s="70"/>
      <c r="E27" s="97"/>
      <c r="F27" s="117">
        <f>F26-F28</f>
        <v>0</v>
      </c>
      <c r="G27" s="118"/>
      <c r="H27" s="119"/>
      <c r="I27" s="117">
        <f>I26-I28</f>
        <v>0</v>
      </c>
      <c r="J27" s="118"/>
      <c r="K27" s="119"/>
      <c r="L27" s="117">
        <f>L26-L28</f>
        <v>0</v>
      </c>
      <c r="M27" s="118"/>
      <c r="N27" s="119"/>
      <c r="O27" s="117">
        <f>O26-O28</f>
        <v>0</v>
      </c>
      <c r="P27" s="118"/>
      <c r="Q27" s="119"/>
      <c r="R27" s="117">
        <f>R26-R28</f>
        <v>0</v>
      </c>
      <c r="S27" s="118"/>
      <c r="T27" s="119"/>
      <c r="U27" s="117">
        <f>U26-U28</f>
        <v>0</v>
      </c>
      <c r="V27" s="118"/>
      <c r="W27" s="119"/>
      <c r="X27" s="117">
        <f>X26-X28</f>
        <v>0</v>
      </c>
      <c r="Y27" s="118"/>
      <c r="Z27" s="119"/>
      <c r="AA27" s="117">
        <f>AA26-AA28</f>
        <v>0</v>
      </c>
      <c r="AB27" s="118"/>
      <c r="AC27" s="119"/>
      <c r="AD27" s="117">
        <f>AD26-AD28</f>
        <v>0</v>
      </c>
      <c r="AE27" s="118"/>
      <c r="AF27" s="119"/>
      <c r="AG27" s="117">
        <f>AG26-AG28</f>
        <v>0</v>
      </c>
      <c r="AH27" s="118"/>
      <c r="AI27" s="119"/>
      <c r="AJ27" s="117">
        <f>AJ26-AJ28</f>
        <v>0</v>
      </c>
      <c r="AK27" s="118"/>
      <c r="AL27" s="119"/>
      <c r="AM27" s="117">
        <f>AM26-AM28</f>
        <v>0</v>
      </c>
      <c r="AN27" s="93"/>
      <c r="AO27" s="112">
        <f>AL27+AI27+AF27+AC27+Z27+W27+T27+Q27+N27+K27+H27+E27</f>
        <v>0</v>
      </c>
      <c r="AP27" s="115"/>
      <c r="AQ27" s="120">
        <f>AO27-AP27</f>
        <v>0</v>
      </c>
      <c r="AR27" s="3" t="str">
        <f>C27</f>
        <v>Diff</v>
      </c>
      <c r="AT27" s="9"/>
      <c r="AU27" s="37">
        <f>INDEX(AW27:BH27,1,$I$1)</f>
        <v>0</v>
      </c>
      <c r="AV27" s="13">
        <f>AT27-AU27</f>
        <v>0</v>
      </c>
      <c r="AW27" s="3">
        <f>F27</f>
        <v>0</v>
      </c>
      <c r="AX27" s="3">
        <f>I27</f>
        <v>0</v>
      </c>
      <c r="AY27" s="3">
        <f>L27</f>
        <v>0</v>
      </c>
      <c r="AZ27" s="3">
        <f>O27</f>
        <v>0</v>
      </c>
      <c r="BA27" s="3">
        <f>R27</f>
        <v>0</v>
      </c>
      <c r="BB27" s="3">
        <f>U27</f>
        <v>0</v>
      </c>
      <c r="BC27" s="3">
        <f>X27</f>
        <v>0</v>
      </c>
      <c r="BD27" s="3">
        <f>AA27</f>
        <v>0</v>
      </c>
      <c r="BE27" s="3">
        <f>AD27</f>
        <v>0</v>
      </c>
      <c r="BF27" s="3">
        <f>AG27</f>
        <v>0</v>
      </c>
      <c r="BG27" s="3">
        <f>AJ27</f>
        <v>0</v>
      </c>
      <c r="BH27" s="3">
        <f>AM27</f>
        <v>0</v>
      </c>
    </row>
    <row r="28" spans="1:94" s="5" customFormat="1" hidden="1" x14ac:dyDescent="0.2">
      <c r="A28" s="104" t="s">
        <v>59</v>
      </c>
      <c r="B28" s="103"/>
      <c r="C28" s="104"/>
      <c r="D28" s="104">
        <f>SUM(D35)</f>
        <v>0</v>
      </c>
      <c r="E28" s="121" t="str">
        <f>IF(RealMaaned&lt;1,E53,"")</f>
        <v/>
      </c>
      <c r="F28" s="104">
        <f>E53</f>
        <v>0</v>
      </c>
      <c r="G28" s="122"/>
      <c r="H28" s="121" t="str">
        <f>IF(RealMaaned&lt;2,H53,"")</f>
        <v/>
      </c>
      <c r="I28" s="104">
        <f>H53</f>
        <v>0</v>
      </c>
      <c r="J28" s="122"/>
      <c r="K28" s="121"/>
      <c r="L28" s="104">
        <f>K53</f>
        <v>0</v>
      </c>
      <c r="M28" s="122"/>
      <c r="N28" s="121"/>
      <c r="O28" s="104">
        <f>N53</f>
        <v>0</v>
      </c>
      <c r="P28" s="122"/>
      <c r="Q28" s="121"/>
      <c r="R28" s="104">
        <f>Q53</f>
        <v>0</v>
      </c>
      <c r="S28" s="122"/>
      <c r="T28" s="121"/>
      <c r="U28" s="104">
        <f>T53</f>
        <v>0</v>
      </c>
      <c r="V28" s="122"/>
      <c r="W28" s="121"/>
      <c r="X28" s="104">
        <f>W53</f>
        <v>0</v>
      </c>
      <c r="Y28" s="122"/>
      <c r="Z28" s="121"/>
      <c r="AA28" s="104">
        <f>Z53</f>
        <v>0</v>
      </c>
      <c r="AB28" s="122"/>
      <c r="AC28" s="121"/>
      <c r="AD28" s="104">
        <f>AC53</f>
        <v>0</v>
      </c>
      <c r="AE28" s="122"/>
      <c r="AF28" s="121"/>
      <c r="AG28" s="104">
        <f>AF53</f>
        <v>0</v>
      </c>
      <c r="AH28" s="122"/>
      <c r="AI28" s="121"/>
      <c r="AJ28" s="104">
        <f>AI53</f>
        <v>0</v>
      </c>
      <c r="AK28" s="122"/>
      <c r="AL28" s="121"/>
      <c r="AM28" s="104">
        <f>AL53</f>
        <v>0</v>
      </c>
      <c r="AN28" s="122"/>
      <c r="AO28" s="123">
        <f>AO25+D28</f>
        <v>0</v>
      </c>
      <c r="AP28" s="124">
        <f>D28+AP25</f>
        <v>0</v>
      </c>
      <c r="AQ28" s="109">
        <f>AP28-AO28</f>
        <v>0</v>
      </c>
      <c r="AR28" s="7" t="s">
        <v>25</v>
      </c>
      <c r="AT28" s="8">
        <f>AT25-5441</f>
        <v>159699</v>
      </c>
      <c r="AU28" s="38">
        <f>AU25+AU27+D28</f>
        <v>0</v>
      </c>
      <c r="AV28" s="8">
        <f>AU28-AT28</f>
        <v>-159699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</row>
    <row r="29" spans="1:94" s="3" customFormat="1" hidden="1" x14ac:dyDescent="0.2">
      <c r="A29" s="70"/>
      <c r="B29" s="64"/>
      <c r="C29" s="70"/>
      <c r="D29" s="111" t="s">
        <v>71</v>
      </c>
      <c r="E29" s="18">
        <v>0.5</v>
      </c>
      <c r="F29" s="125" t="str">
        <f>IF(F4&gt;0,F34/F4,"")</f>
        <v/>
      </c>
      <c r="G29" s="70"/>
      <c r="H29" s="18">
        <v>0.5</v>
      </c>
      <c r="I29" s="125" t="str">
        <f>IF(I4&gt;0,I34/I4,"")</f>
        <v/>
      </c>
      <c r="J29" s="70"/>
      <c r="K29" s="18">
        <v>0.5</v>
      </c>
      <c r="L29" s="125" t="str">
        <f>IF(L4&gt;0,L34/L4,"")</f>
        <v/>
      </c>
      <c r="M29" s="70"/>
      <c r="N29" s="18">
        <v>0.5</v>
      </c>
      <c r="O29" s="125" t="str">
        <f>IF(O4&gt;0,O34/O4,"")</f>
        <v/>
      </c>
      <c r="P29" s="70"/>
      <c r="Q29" s="18">
        <v>0.5</v>
      </c>
      <c r="R29" s="125" t="str">
        <f>IF(R4&gt;0,R34/R4,"")</f>
        <v/>
      </c>
      <c r="S29" s="70"/>
      <c r="T29" s="18">
        <v>0.5</v>
      </c>
      <c r="U29" s="125" t="str">
        <f>IF(U4&gt;0,U34/U4,"")</f>
        <v/>
      </c>
      <c r="V29" s="70"/>
      <c r="W29" s="18">
        <v>0.5</v>
      </c>
      <c r="X29" s="125" t="str">
        <f>IF(X4&gt;0,X34/X4,"")</f>
        <v/>
      </c>
      <c r="Y29" s="70"/>
      <c r="Z29" s="18">
        <v>0.5</v>
      </c>
      <c r="AA29" s="125" t="str">
        <f>IF(AA4&gt;0,AA34/AA4,"")</f>
        <v/>
      </c>
      <c r="AB29" s="70"/>
      <c r="AC29" s="18">
        <v>0.5</v>
      </c>
      <c r="AD29" s="125" t="str">
        <f>IF(AD4&gt;0,AD34/AD4,"")</f>
        <v/>
      </c>
      <c r="AE29" s="70"/>
      <c r="AF29" s="18">
        <v>0.5</v>
      </c>
      <c r="AG29" s="125" t="str">
        <f>IF(AG4&gt;0,AG34/AG4,"")</f>
        <v/>
      </c>
      <c r="AH29" s="70"/>
      <c r="AI29" s="18">
        <v>0.5</v>
      </c>
      <c r="AJ29" s="125" t="str">
        <f>IF(AJ4&gt;0,AJ34/AJ4,"")</f>
        <v/>
      </c>
      <c r="AK29" s="70"/>
      <c r="AL29" s="18">
        <v>0.5</v>
      </c>
      <c r="AM29" s="125" t="str">
        <f>IF(AM4&gt;0,AM34/AM4,"")</f>
        <v/>
      </c>
      <c r="AN29" s="70"/>
      <c r="AO29" s="72"/>
      <c r="AP29" s="70"/>
      <c r="AQ29" s="70"/>
    </row>
    <row r="30" spans="1:94" hidden="1" x14ac:dyDescent="0.2">
      <c r="A30" s="70"/>
      <c r="C30" s="70"/>
      <c r="D30" s="111" t="s">
        <v>70</v>
      </c>
      <c r="E30" s="18">
        <v>0.8</v>
      </c>
      <c r="F30" s="125" t="str">
        <f>IF(F40&lt;&gt;0,F40/SUM(F5:F14),"")</f>
        <v/>
      </c>
      <c r="G30" s="70"/>
      <c r="H30" s="18">
        <v>0.8</v>
      </c>
      <c r="I30" s="125" t="str">
        <f>IF(I40&lt;&gt;0,I40/SUM(I5:I14),"")</f>
        <v/>
      </c>
      <c r="J30" s="70"/>
      <c r="K30" s="18">
        <v>0.8</v>
      </c>
      <c r="L30" s="125" t="str">
        <f>IF(L40&lt;&gt;0,L40/SUM(L5:L14),"")</f>
        <v/>
      </c>
      <c r="M30" s="70"/>
      <c r="N30" s="18">
        <v>0.8</v>
      </c>
      <c r="O30" s="125" t="str">
        <f>IF(O40&lt;&gt;0,O40/SUM(O5:O14),"")</f>
        <v/>
      </c>
      <c r="P30" s="70"/>
      <c r="Q30" s="18">
        <v>0.8</v>
      </c>
      <c r="R30" s="125" t="str">
        <f>IF(R40&lt;&gt;0,R40/SUM(R5:R14),"")</f>
        <v/>
      </c>
      <c r="S30" s="70"/>
      <c r="T30" s="18">
        <v>0.8</v>
      </c>
      <c r="U30" s="125" t="str">
        <f>IF(U40&lt;&gt;0,U40/SUM(U5:U14),"")</f>
        <v/>
      </c>
      <c r="V30" s="70"/>
      <c r="W30" s="18">
        <v>0.8</v>
      </c>
      <c r="X30" s="125" t="str">
        <f>IF(X40&lt;&gt;0,X40/SUM(X5:X14),"")</f>
        <v/>
      </c>
      <c r="Y30" s="70"/>
      <c r="Z30" s="18">
        <v>0.8</v>
      </c>
      <c r="AA30" s="125" t="str">
        <f>IF(AA40&lt;&gt;0,AA40/SUM(AA5:AA14),"")</f>
        <v/>
      </c>
      <c r="AB30" s="70"/>
      <c r="AC30" s="18">
        <v>0.8</v>
      </c>
      <c r="AD30" s="125" t="str">
        <f>IF(AD40&lt;&gt;0,AD40/SUM(AD5:AD14),"")</f>
        <v/>
      </c>
      <c r="AE30" s="70"/>
      <c r="AF30" s="18">
        <v>0.8</v>
      </c>
      <c r="AG30" s="125" t="str">
        <f>IF(AG40&lt;&gt;0,AG40/SUM(AG5:AG14),"")</f>
        <v/>
      </c>
      <c r="AH30" s="70"/>
      <c r="AI30" s="18">
        <v>0.8</v>
      </c>
      <c r="AJ30" s="125" t="str">
        <f>IF(AJ40&lt;&gt;0,AJ40/SUM(AJ5:AJ14),"")</f>
        <v/>
      </c>
      <c r="AK30" s="70"/>
      <c r="AL30" s="18">
        <v>0.8</v>
      </c>
      <c r="AM30" s="125" t="str">
        <f>IF(AM40&lt;&gt;0,AM40/SUM(AM5:AM14),"")</f>
        <v/>
      </c>
      <c r="AN30" s="70"/>
      <c r="AO30" s="72"/>
      <c r="AP30" s="70"/>
      <c r="AQ30" s="70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94" hidden="1" x14ac:dyDescent="0.2">
      <c r="A31" s="70"/>
      <c r="C31" s="70"/>
      <c r="D31" s="126"/>
      <c r="E31" s="73" t="s">
        <v>14</v>
      </c>
      <c r="F31" s="74"/>
      <c r="G31" s="75"/>
      <c r="H31" s="73" t="s">
        <v>15</v>
      </c>
      <c r="I31" s="74"/>
      <c r="J31" s="75"/>
      <c r="K31" s="73" t="s">
        <v>16</v>
      </c>
      <c r="L31" s="74"/>
      <c r="M31" s="75"/>
      <c r="N31" s="73" t="s">
        <v>17</v>
      </c>
      <c r="O31" s="74"/>
      <c r="P31" s="75"/>
      <c r="Q31" s="73" t="s">
        <v>0</v>
      </c>
      <c r="R31" s="74"/>
      <c r="S31" s="75"/>
      <c r="T31" s="73" t="s">
        <v>18</v>
      </c>
      <c r="U31" s="74"/>
      <c r="V31" s="75"/>
      <c r="W31" s="73" t="s">
        <v>8</v>
      </c>
      <c r="X31" s="74"/>
      <c r="Y31" s="75"/>
      <c r="Z31" s="73" t="s">
        <v>9</v>
      </c>
      <c r="AA31" s="74"/>
      <c r="AB31" s="75"/>
      <c r="AC31" s="73" t="s">
        <v>10</v>
      </c>
      <c r="AD31" s="74"/>
      <c r="AE31" s="75"/>
      <c r="AF31" s="73" t="s">
        <v>11</v>
      </c>
      <c r="AG31" s="74"/>
      <c r="AH31" s="75"/>
      <c r="AI31" s="73" t="s">
        <v>12</v>
      </c>
      <c r="AJ31" s="74"/>
      <c r="AK31" s="75"/>
      <c r="AL31" s="73" t="s">
        <v>13</v>
      </c>
      <c r="AM31" s="74"/>
      <c r="AN31" s="75"/>
      <c r="AO31" s="99"/>
      <c r="AP31" s="70"/>
      <c r="AQ31" s="70"/>
    </row>
    <row r="32" spans="1:94" s="3" customFormat="1" hidden="1" x14ac:dyDescent="0.2">
      <c r="A32" s="64"/>
      <c r="B32" s="72" t="s">
        <v>60</v>
      </c>
      <c r="C32" s="70"/>
      <c r="D32" s="127" t="s">
        <v>61</v>
      </c>
      <c r="E32" s="82" t="s">
        <v>39</v>
      </c>
      <c r="F32" s="83" t="s">
        <v>2</v>
      </c>
      <c r="G32" s="84" t="s">
        <v>1</v>
      </c>
      <c r="H32" s="82" t="s">
        <v>40</v>
      </c>
      <c r="I32" s="83" t="s">
        <v>2</v>
      </c>
      <c r="J32" s="84" t="s">
        <v>1</v>
      </c>
      <c r="K32" s="82" t="s">
        <v>41</v>
      </c>
      <c r="L32" s="83" t="s">
        <v>2</v>
      </c>
      <c r="M32" s="84" t="s">
        <v>1</v>
      </c>
      <c r="N32" s="82" t="s">
        <v>42</v>
      </c>
      <c r="O32" s="83" t="s">
        <v>2</v>
      </c>
      <c r="P32" s="84" t="s">
        <v>1</v>
      </c>
      <c r="Q32" s="82" t="s">
        <v>43</v>
      </c>
      <c r="R32" s="83" t="s">
        <v>2</v>
      </c>
      <c r="S32" s="84" t="s">
        <v>1</v>
      </c>
      <c r="T32" s="82" t="s">
        <v>44</v>
      </c>
      <c r="U32" s="83" t="s">
        <v>2</v>
      </c>
      <c r="V32" s="84" t="s">
        <v>1</v>
      </c>
      <c r="W32" s="82" t="s">
        <v>45</v>
      </c>
      <c r="X32" s="83" t="s">
        <v>2</v>
      </c>
      <c r="Y32" s="84" t="s">
        <v>1</v>
      </c>
      <c r="Z32" s="82" t="s">
        <v>46</v>
      </c>
      <c r="AA32" s="83" t="s">
        <v>2</v>
      </c>
      <c r="AB32" s="84" t="s">
        <v>1</v>
      </c>
      <c r="AC32" s="82" t="s">
        <v>47</v>
      </c>
      <c r="AD32" s="83" t="s">
        <v>2</v>
      </c>
      <c r="AE32" s="84" t="s">
        <v>1</v>
      </c>
      <c r="AF32" s="82" t="s">
        <v>48</v>
      </c>
      <c r="AG32" s="83" t="s">
        <v>2</v>
      </c>
      <c r="AH32" s="84" t="s">
        <v>1</v>
      </c>
      <c r="AI32" s="82" t="s">
        <v>49</v>
      </c>
      <c r="AJ32" s="83" t="s">
        <v>2</v>
      </c>
      <c r="AK32" s="84" t="s">
        <v>1</v>
      </c>
      <c r="AL32" s="85" t="s">
        <v>50</v>
      </c>
      <c r="AM32" s="86" t="s">
        <v>2</v>
      </c>
      <c r="AN32" s="128" t="s">
        <v>1</v>
      </c>
      <c r="AO32" s="99"/>
      <c r="AP32" s="70"/>
      <c r="AQ32" s="70"/>
      <c r="AR32" s="4"/>
      <c r="AS32" s="4"/>
      <c r="AU32" s="44"/>
      <c r="AV32" s="1"/>
      <c r="AW32" s="12" t="s">
        <v>24</v>
      </c>
      <c r="AX32" s="12" t="s">
        <v>27</v>
      </c>
      <c r="AY32" s="12" t="s">
        <v>28</v>
      </c>
      <c r="AZ32" s="12" t="s">
        <v>29</v>
      </c>
      <c r="BA32" s="12" t="s">
        <v>30</v>
      </c>
      <c r="BB32" s="12" t="s">
        <v>0</v>
      </c>
      <c r="BC32" s="12" t="s">
        <v>31</v>
      </c>
      <c r="BD32" s="12" t="s">
        <v>32</v>
      </c>
      <c r="BE32" s="12" t="s">
        <v>33</v>
      </c>
      <c r="BF32" s="12" t="s">
        <v>34</v>
      </c>
      <c r="BG32" s="12" t="s">
        <v>35</v>
      </c>
      <c r="BH32" s="12" t="s">
        <v>36</v>
      </c>
      <c r="BI32" s="12" t="s">
        <v>37</v>
      </c>
    </row>
    <row r="33" spans="1:62" s="3" customFormat="1" hidden="1" x14ac:dyDescent="0.2">
      <c r="A33" s="64"/>
      <c r="B33" s="70" t="s">
        <v>73</v>
      </c>
      <c r="C33" s="70"/>
      <c r="D33" s="22"/>
      <c r="E33" s="21"/>
      <c r="F33" s="15"/>
      <c r="G33" s="130">
        <f t="shared" ref="G33:G43" si="134">E33-F33</f>
        <v>0</v>
      </c>
      <c r="H33" s="21"/>
      <c r="I33" s="15"/>
      <c r="J33" s="130">
        <f t="shared" ref="J33:J42" si="135">H33-I33</f>
        <v>0</v>
      </c>
      <c r="K33" s="21"/>
      <c r="L33" s="15"/>
      <c r="M33" s="130">
        <f t="shared" ref="M33:M42" si="136">K33-L33</f>
        <v>0</v>
      </c>
      <c r="N33" s="21"/>
      <c r="O33" s="15"/>
      <c r="P33" s="130">
        <f t="shared" ref="P33:P42" si="137">N33-O33</f>
        <v>0</v>
      </c>
      <c r="Q33" s="21"/>
      <c r="R33" s="15"/>
      <c r="S33" s="130">
        <f t="shared" ref="S33:S42" si="138">Q33-R33</f>
        <v>0</v>
      </c>
      <c r="T33" s="21"/>
      <c r="U33" s="15"/>
      <c r="V33" s="130">
        <f t="shared" ref="V33:V42" si="139">T33-U33</f>
        <v>0</v>
      </c>
      <c r="W33" s="21"/>
      <c r="X33" s="15"/>
      <c r="Y33" s="130">
        <f t="shared" ref="Y33:Y42" si="140">W33-X33</f>
        <v>0</v>
      </c>
      <c r="Z33" s="21"/>
      <c r="AA33" s="15"/>
      <c r="AB33" s="130">
        <f t="shared" ref="AB33:AB42" si="141">Z33-AA33</f>
        <v>0</v>
      </c>
      <c r="AC33" s="21"/>
      <c r="AD33" s="15"/>
      <c r="AE33" s="130">
        <f t="shared" ref="AE33:AE42" si="142">AC33-AD33</f>
        <v>0</v>
      </c>
      <c r="AF33" s="21"/>
      <c r="AG33" s="15"/>
      <c r="AH33" s="130">
        <f t="shared" ref="AH33:AH42" si="143">AF33-AG33</f>
        <v>0</v>
      </c>
      <c r="AI33" s="21"/>
      <c r="AJ33" s="15"/>
      <c r="AK33" s="130">
        <f t="shared" ref="AK33:AK42" si="144">AI33-AJ33</f>
        <v>0</v>
      </c>
      <c r="AL33" s="21"/>
      <c r="AM33" s="15"/>
      <c r="AN33" s="130">
        <f t="shared" ref="AN33:AN42" si="145">AL33-AM33</f>
        <v>0</v>
      </c>
      <c r="AO33" s="99"/>
      <c r="AP33" s="70"/>
      <c r="AQ33" s="70"/>
      <c r="AU33" s="1"/>
      <c r="AV33" s="45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3" t="s">
        <v>66</v>
      </c>
    </row>
    <row r="34" spans="1:62" s="3" customFormat="1" hidden="1" x14ac:dyDescent="0.2">
      <c r="A34" s="64"/>
      <c r="B34" s="70" t="s">
        <v>74</v>
      </c>
      <c r="C34" s="70"/>
      <c r="D34" s="16"/>
      <c r="E34" s="24"/>
      <c r="F34" s="16"/>
      <c r="G34" s="130">
        <f t="shared" si="134"/>
        <v>0</v>
      </c>
      <c r="H34" s="24">
        <f>H4*H29</f>
        <v>0</v>
      </c>
      <c r="I34" s="16"/>
      <c r="J34" s="130">
        <f t="shared" si="135"/>
        <v>0</v>
      </c>
      <c r="K34" s="24">
        <f>K4*K29</f>
        <v>0</v>
      </c>
      <c r="L34" s="16"/>
      <c r="M34" s="130">
        <f t="shared" si="136"/>
        <v>0</v>
      </c>
      <c r="N34" s="24">
        <f>N4*N29</f>
        <v>0</v>
      </c>
      <c r="O34" s="16"/>
      <c r="P34" s="130">
        <f t="shared" si="137"/>
        <v>0</v>
      </c>
      <c r="Q34" s="24">
        <f>Q4*Q29</f>
        <v>0</v>
      </c>
      <c r="R34" s="16"/>
      <c r="S34" s="130">
        <f t="shared" si="138"/>
        <v>0</v>
      </c>
      <c r="T34" s="24">
        <f>T4*T29</f>
        <v>0</v>
      </c>
      <c r="U34" s="16"/>
      <c r="V34" s="130">
        <f t="shared" si="139"/>
        <v>0</v>
      </c>
      <c r="W34" s="24">
        <f>W4*W29</f>
        <v>0</v>
      </c>
      <c r="X34" s="16"/>
      <c r="Y34" s="130">
        <f t="shared" si="140"/>
        <v>0</v>
      </c>
      <c r="Z34" s="24">
        <f>Z4*Z29</f>
        <v>0</v>
      </c>
      <c r="AA34" s="16"/>
      <c r="AB34" s="130">
        <f t="shared" si="141"/>
        <v>0</v>
      </c>
      <c r="AC34" s="24">
        <f>AC4*AC29</f>
        <v>0</v>
      </c>
      <c r="AD34" s="16"/>
      <c r="AE34" s="130">
        <f t="shared" si="142"/>
        <v>0</v>
      </c>
      <c r="AF34" s="24">
        <f>AF4*AF29</f>
        <v>0</v>
      </c>
      <c r="AG34" s="16"/>
      <c r="AH34" s="130">
        <f t="shared" si="143"/>
        <v>0</v>
      </c>
      <c r="AI34" s="24">
        <f>AI4*AI29</f>
        <v>0</v>
      </c>
      <c r="AJ34" s="16"/>
      <c r="AK34" s="130">
        <f t="shared" si="144"/>
        <v>0</v>
      </c>
      <c r="AL34" s="24">
        <f>AL4*AL29</f>
        <v>0</v>
      </c>
      <c r="AM34" s="16"/>
      <c r="AN34" s="130">
        <f t="shared" si="145"/>
        <v>0</v>
      </c>
      <c r="AO34" s="99"/>
      <c r="AP34" s="70"/>
      <c r="AQ34" s="70"/>
      <c r="AU34" s="1"/>
      <c r="AV34" s="46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3" t="s">
        <v>67</v>
      </c>
    </row>
    <row r="35" spans="1:62" s="3" customFormat="1" hidden="1" x14ac:dyDescent="0.2">
      <c r="A35" s="64"/>
      <c r="B35" s="63" t="s">
        <v>75</v>
      </c>
      <c r="C35" s="63"/>
      <c r="D35" s="17"/>
      <c r="E35" s="133">
        <f>E26</f>
        <v>0</v>
      </c>
      <c r="F35" s="17"/>
      <c r="G35" s="130">
        <f t="shared" si="134"/>
        <v>0</v>
      </c>
      <c r="H35" s="133">
        <f>H26</f>
        <v>0</v>
      </c>
      <c r="I35" s="17"/>
      <c r="J35" s="130">
        <f t="shared" si="135"/>
        <v>0</v>
      </c>
      <c r="K35" s="133">
        <f>K26</f>
        <v>0</v>
      </c>
      <c r="L35" s="17"/>
      <c r="M35" s="130">
        <f t="shared" si="136"/>
        <v>0</v>
      </c>
      <c r="N35" s="133">
        <f>N26</f>
        <v>0</v>
      </c>
      <c r="O35" s="17"/>
      <c r="P35" s="130">
        <f t="shared" si="137"/>
        <v>0</v>
      </c>
      <c r="Q35" s="133">
        <f>Q26</f>
        <v>0</v>
      </c>
      <c r="R35" s="17"/>
      <c r="S35" s="130">
        <f t="shared" si="138"/>
        <v>0</v>
      </c>
      <c r="T35" s="133">
        <f>T26</f>
        <v>0</v>
      </c>
      <c r="U35" s="17"/>
      <c r="V35" s="130">
        <f t="shared" si="139"/>
        <v>0</v>
      </c>
      <c r="W35" s="133">
        <f>W26</f>
        <v>0</v>
      </c>
      <c r="X35" s="17"/>
      <c r="Y35" s="130">
        <f t="shared" si="140"/>
        <v>0</v>
      </c>
      <c r="Z35" s="133">
        <f>Z26</f>
        <v>0</v>
      </c>
      <c r="AA35" s="17"/>
      <c r="AB35" s="130">
        <f t="shared" si="141"/>
        <v>0</v>
      </c>
      <c r="AC35" s="133">
        <f>AC26</f>
        <v>0</v>
      </c>
      <c r="AD35" s="17"/>
      <c r="AE35" s="130">
        <f t="shared" si="142"/>
        <v>0</v>
      </c>
      <c r="AF35" s="133">
        <f>AF26</f>
        <v>0</v>
      </c>
      <c r="AG35" s="17"/>
      <c r="AH35" s="130">
        <f t="shared" si="143"/>
        <v>0</v>
      </c>
      <c r="AI35" s="133">
        <f>AI26</f>
        <v>0</v>
      </c>
      <c r="AJ35" s="17"/>
      <c r="AK35" s="130">
        <f t="shared" si="144"/>
        <v>0</v>
      </c>
      <c r="AL35" s="133">
        <f>AL26</f>
        <v>0</v>
      </c>
      <c r="AM35" s="17"/>
      <c r="AN35" s="130">
        <f t="shared" si="145"/>
        <v>0</v>
      </c>
      <c r="AO35" s="134"/>
      <c r="AP35" s="63"/>
      <c r="AQ35" s="63"/>
      <c r="AU35" s="1"/>
    </row>
    <row r="36" spans="1:62" s="4" customFormat="1" hidden="1" x14ac:dyDescent="0.2">
      <c r="A36" s="64"/>
      <c r="B36" s="69" t="s">
        <v>76</v>
      </c>
      <c r="C36" s="69"/>
      <c r="D36" s="134">
        <f t="shared" ref="D36:AN36" si="146">SUM(D33:D35)</f>
        <v>0</v>
      </c>
      <c r="E36" s="135">
        <f t="shared" si="146"/>
        <v>0</v>
      </c>
      <c r="F36" s="69">
        <f t="shared" si="146"/>
        <v>0</v>
      </c>
      <c r="G36" s="136">
        <f t="shared" si="146"/>
        <v>0</v>
      </c>
      <c r="H36" s="135">
        <f t="shared" si="146"/>
        <v>0</v>
      </c>
      <c r="I36" s="69">
        <f t="shared" si="146"/>
        <v>0</v>
      </c>
      <c r="J36" s="136">
        <f t="shared" si="146"/>
        <v>0</v>
      </c>
      <c r="K36" s="135">
        <f t="shared" si="146"/>
        <v>0</v>
      </c>
      <c r="L36" s="69">
        <f t="shared" si="146"/>
        <v>0</v>
      </c>
      <c r="M36" s="136">
        <f t="shared" si="146"/>
        <v>0</v>
      </c>
      <c r="N36" s="135">
        <f t="shared" si="146"/>
        <v>0</v>
      </c>
      <c r="O36" s="69">
        <f t="shared" si="146"/>
        <v>0</v>
      </c>
      <c r="P36" s="136">
        <f t="shared" si="146"/>
        <v>0</v>
      </c>
      <c r="Q36" s="135">
        <f t="shared" si="146"/>
        <v>0</v>
      </c>
      <c r="R36" s="69">
        <f t="shared" si="146"/>
        <v>0</v>
      </c>
      <c r="S36" s="136">
        <f t="shared" si="146"/>
        <v>0</v>
      </c>
      <c r="T36" s="135">
        <f t="shared" si="146"/>
        <v>0</v>
      </c>
      <c r="U36" s="69">
        <f t="shared" si="146"/>
        <v>0</v>
      </c>
      <c r="V36" s="136">
        <f t="shared" si="146"/>
        <v>0</v>
      </c>
      <c r="W36" s="135">
        <f t="shared" si="146"/>
        <v>0</v>
      </c>
      <c r="X36" s="69">
        <f t="shared" si="146"/>
        <v>0</v>
      </c>
      <c r="Y36" s="136">
        <f t="shared" si="146"/>
        <v>0</v>
      </c>
      <c r="Z36" s="135">
        <f t="shared" si="146"/>
        <v>0</v>
      </c>
      <c r="AA36" s="69">
        <f t="shared" si="146"/>
        <v>0</v>
      </c>
      <c r="AB36" s="136">
        <f t="shared" si="146"/>
        <v>0</v>
      </c>
      <c r="AC36" s="135">
        <f t="shared" si="146"/>
        <v>0</v>
      </c>
      <c r="AD36" s="69">
        <f t="shared" si="146"/>
        <v>0</v>
      </c>
      <c r="AE36" s="136">
        <f t="shared" si="146"/>
        <v>0</v>
      </c>
      <c r="AF36" s="135">
        <f t="shared" si="146"/>
        <v>0</v>
      </c>
      <c r="AG36" s="69">
        <f t="shared" si="146"/>
        <v>0</v>
      </c>
      <c r="AH36" s="136">
        <f t="shared" si="146"/>
        <v>0</v>
      </c>
      <c r="AI36" s="135">
        <f t="shared" si="146"/>
        <v>0</v>
      </c>
      <c r="AJ36" s="69">
        <f>SUM(AJ33:AJ35)</f>
        <v>0</v>
      </c>
      <c r="AK36" s="136">
        <f t="shared" si="146"/>
        <v>0</v>
      </c>
      <c r="AL36" s="135">
        <f t="shared" si="146"/>
        <v>0</v>
      </c>
      <c r="AM36" s="69">
        <f t="shared" si="146"/>
        <v>0</v>
      </c>
      <c r="AN36" s="136">
        <f t="shared" si="146"/>
        <v>0</v>
      </c>
      <c r="AO36" s="134"/>
      <c r="AP36" s="69"/>
      <c r="AQ36" s="69"/>
      <c r="AU36" s="2"/>
    </row>
    <row r="37" spans="1:62" s="3" customFormat="1" hidden="1" x14ac:dyDescent="0.2">
      <c r="A37" s="64"/>
      <c r="B37" s="63" t="s">
        <v>77</v>
      </c>
      <c r="C37" s="63"/>
      <c r="D37" s="23"/>
      <c r="E37" s="137">
        <f>E15+E19+D37</f>
        <v>0</v>
      </c>
      <c r="F37" s="17"/>
      <c r="G37" s="130">
        <f t="shared" si="134"/>
        <v>0</v>
      </c>
      <c r="H37" s="137">
        <f>E37-H15-H19</f>
        <v>0</v>
      </c>
      <c r="I37" s="17"/>
      <c r="J37" s="130">
        <f t="shared" si="135"/>
        <v>0</v>
      </c>
      <c r="K37" s="137">
        <f>H37-K15-K19</f>
        <v>0</v>
      </c>
      <c r="L37" s="17"/>
      <c r="M37" s="130">
        <f t="shared" si="136"/>
        <v>0</v>
      </c>
      <c r="N37" s="137">
        <f>K37-N15-N19</f>
        <v>0</v>
      </c>
      <c r="O37" s="17"/>
      <c r="P37" s="130">
        <f t="shared" si="137"/>
        <v>0</v>
      </c>
      <c r="Q37" s="137">
        <f>N37-Q15-Q19</f>
        <v>0</v>
      </c>
      <c r="R37" s="17"/>
      <c r="S37" s="130">
        <f t="shared" si="138"/>
        <v>0</v>
      </c>
      <c r="T37" s="137">
        <f>Q37-T15-T19</f>
        <v>0</v>
      </c>
      <c r="U37" s="17"/>
      <c r="V37" s="130">
        <f t="shared" si="139"/>
        <v>0</v>
      </c>
      <c r="W37" s="137">
        <f>T37-W15-W19</f>
        <v>0</v>
      </c>
      <c r="X37" s="17"/>
      <c r="Y37" s="130">
        <f t="shared" si="140"/>
        <v>0</v>
      </c>
      <c r="Z37" s="137">
        <f>W37-Z15-Z19</f>
        <v>0</v>
      </c>
      <c r="AA37" s="17"/>
      <c r="AB37" s="130">
        <f t="shared" si="141"/>
        <v>0</v>
      </c>
      <c r="AC37" s="137">
        <f>Z37-AC15-AC19</f>
        <v>0</v>
      </c>
      <c r="AD37" s="17"/>
      <c r="AE37" s="130">
        <f t="shared" si="142"/>
        <v>0</v>
      </c>
      <c r="AF37" s="137">
        <f>AC37-AF15-AF19</f>
        <v>0</v>
      </c>
      <c r="AG37" s="17"/>
      <c r="AH37" s="130">
        <f t="shared" si="143"/>
        <v>0</v>
      </c>
      <c r="AI37" s="137">
        <f>AF37-AI15-AI19</f>
        <v>0</v>
      </c>
      <c r="AJ37" s="17"/>
      <c r="AK37" s="130">
        <f t="shared" si="144"/>
        <v>0</v>
      </c>
      <c r="AL37" s="137">
        <f>AI37-AL15-AL19</f>
        <v>0</v>
      </c>
      <c r="AM37" s="17"/>
      <c r="AN37" s="130">
        <f t="shared" si="145"/>
        <v>0</v>
      </c>
      <c r="AO37" s="134"/>
      <c r="AP37" s="63"/>
      <c r="AQ37" s="63"/>
      <c r="AU37" s="1"/>
    </row>
    <row r="38" spans="1:62" s="3" customFormat="1" hidden="1" x14ac:dyDescent="0.2">
      <c r="A38" s="64"/>
      <c r="B38" s="63" t="s">
        <v>106</v>
      </c>
      <c r="C38" s="63"/>
      <c r="D38" s="23"/>
      <c r="E38" s="25"/>
      <c r="F38" s="42"/>
      <c r="G38" s="138">
        <f t="shared" si="134"/>
        <v>0</v>
      </c>
      <c r="H38" s="43"/>
      <c r="I38" s="42"/>
      <c r="J38" s="138">
        <f t="shared" si="135"/>
        <v>0</v>
      </c>
      <c r="K38" s="43"/>
      <c r="L38" s="42"/>
      <c r="M38" s="138">
        <f t="shared" si="136"/>
        <v>0</v>
      </c>
      <c r="N38" s="43"/>
      <c r="O38" s="42"/>
      <c r="P38" s="138">
        <f t="shared" si="137"/>
        <v>0</v>
      </c>
      <c r="Q38" s="43"/>
      <c r="R38" s="42"/>
      <c r="S38" s="138">
        <f t="shared" si="138"/>
        <v>0</v>
      </c>
      <c r="T38" s="43"/>
      <c r="U38" s="42"/>
      <c r="V38" s="138">
        <f t="shared" si="139"/>
        <v>0</v>
      </c>
      <c r="W38" s="43"/>
      <c r="X38" s="42"/>
      <c r="Y38" s="138">
        <f t="shared" si="140"/>
        <v>0</v>
      </c>
      <c r="Z38" s="43"/>
      <c r="AA38" s="42"/>
      <c r="AB38" s="130">
        <f t="shared" si="141"/>
        <v>0</v>
      </c>
      <c r="AC38" s="25"/>
      <c r="AD38" s="42"/>
      <c r="AE38" s="130">
        <f t="shared" si="142"/>
        <v>0</v>
      </c>
      <c r="AF38" s="25"/>
      <c r="AG38" s="42"/>
      <c r="AH38" s="130">
        <f t="shared" si="143"/>
        <v>0</v>
      </c>
      <c r="AI38" s="25"/>
      <c r="AJ38" s="17"/>
      <c r="AK38" s="130">
        <f t="shared" si="144"/>
        <v>0</v>
      </c>
      <c r="AL38" s="25"/>
      <c r="AM38" s="17"/>
      <c r="AN38" s="130">
        <f t="shared" si="145"/>
        <v>0</v>
      </c>
      <c r="AO38" s="134"/>
      <c r="AP38" s="63"/>
      <c r="AQ38" s="63"/>
      <c r="AU38" s="1"/>
    </row>
    <row r="39" spans="1:62" s="3" customFormat="1" hidden="1" x14ac:dyDescent="0.2">
      <c r="A39" s="64"/>
      <c r="B39" s="63" t="s">
        <v>78</v>
      </c>
      <c r="C39" s="63"/>
      <c r="D39" s="17"/>
      <c r="E39" s="25"/>
      <c r="F39" s="17"/>
      <c r="G39" s="130">
        <f t="shared" si="134"/>
        <v>0</v>
      </c>
      <c r="H39" s="25"/>
      <c r="I39" s="17"/>
      <c r="J39" s="130">
        <f t="shared" si="135"/>
        <v>0</v>
      </c>
      <c r="K39" s="25"/>
      <c r="L39" s="17"/>
      <c r="M39" s="130">
        <f t="shared" si="136"/>
        <v>0</v>
      </c>
      <c r="N39" s="25"/>
      <c r="O39" s="17"/>
      <c r="P39" s="130">
        <f t="shared" si="137"/>
        <v>0</v>
      </c>
      <c r="Q39" s="25"/>
      <c r="R39" s="17"/>
      <c r="S39" s="130">
        <f t="shared" si="138"/>
        <v>0</v>
      </c>
      <c r="T39" s="25"/>
      <c r="U39" s="17"/>
      <c r="V39" s="130">
        <f t="shared" si="139"/>
        <v>0</v>
      </c>
      <c r="W39" s="25"/>
      <c r="X39" s="17"/>
      <c r="Y39" s="130">
        <f t="shared" si="140"/>
        <v>0</v>
      </c>
      <c r="Z39" s="25"/>
      <c r="AA39" s="17"/>
      <c r="AB39" s="130">
        <f t="shared" si="141"/>
        <v>0</v>
      </c>
      <c r="AC39" s="25"/>
      <c r="AD39" s="17"/>
      <c r="AE39" s="130">
        <f t="shared" si="142"/>
        <v>0</v>
      </c>
      <c r="AF39" s="25"/>
      <c r="AG39" s="17"/>
      <c r="AH39" s="130">
        <f t="shared" si="143"/>
        <v>0</v>
      </c>
      <c r="AI39" s="25"/>
      <c r="AJ39" s="17"/>
      <c r="AK39" s="130">
        <f t="shared" si="144"/>
        <v>0</v>
      </c>
      <c r="AL39" s="25"/>
      <c r="AM39" s="17"/>
      <c r="AN39" s="130">
        <f t="shared" si="145"/>
        <v>0</v>
      </c>
      <c r="AO39" s="134"/>
      <c r="AP39" s="63"/>
      <c r="AQ39" s="63"/>
      <c r="AU39" s="1"/>
      <c r="AW39" s="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</row>
    <row r="40" spans="1:62" s="3" customFormat="1" hidden="1" x14ac:dyDescent="0.2">
      <c r="A40" s="64"/>
      <c r="B40" s="70" t="s">
        <v>79</v>
      </c>
      <c r="C40" s="63"/>
      <c r="D40" s="17"/>
      <c r="E40" s="25"/>
      <c r="F40" s="17"/>
      <c r="G40" s="130">
        <f t="shared" si="134"/>
        <v>0</v>
      </c>
      <c r="H40" s="25">
        <f>SUM(H9:H13)*H30</f>
        <v>0</v>
      </c>
      <c r="I40" s="17"/>
      <c r="J40" s="130">
        <f t="shared" si="135"/>
        <v>0</v>
      </c>
      <c r="K40" s="25">
        <f>SUM(K9:K13)*K30</f>
        <v>0</v>
      </c>
      <c r="L40" s="17"/>
      <c r="M40" s="130">
        <f t="shared" si="136"/>
        <v>0</v>
      </c>
      <c r="N40" s="25"/>
      <c r="O40" s="17"/>
      <c r="P40" s="130">
        <f t="shared" si="137"/>
        <v>0</v>
      </c>
      <c r="Q40" s="25"/>
      <c r="R40" s="17"/>
      <c r="S40" s="130">
        <f t="shared" si="138"/>
        <v>0</v>
      </c>
      <c r="T40" s="25"/>
      <c r="U40" s="17"/>
      <c r="V40" s="130">
        <f t="shared" si="139"/>
        <v>0</v>
      </c>
      <c r="W40" s="25"/>
      <c r="X40" s="17"/>
      <c r="Y40" s="130">
        <f t="shared" si="140"/>
        <v>0</v>
      </c>
      <c r="Z40" s="25"/>
      <c r="AA40" s="17"/>
      <c r="AB40" s="130">
        <f t="shared" si="141"/>
        <v>0</v>
      </c>
      <c r="AC40" s="25"/>
      <c r="AD40" s="17"/>
      <c r="AE40" s="130">
        <f t="shared" si="142"/>
        <v>0</v>
      </c>
      <c r="AF40" s="25"/>
      <c r="AG40" s="17"/>
      <c r="AH40" s="130">
        <f t="shared" si="143"/>
        <v>0</v>
      </c>
      <c r="AI40" s="25">
        <f>SUM(AI9:AI13)*AI30</f>
        <v>0</v>
      </c>
      <c r="AJ40" s="17"/>
      <c r="AK40" s="130">
        <f t="shared" si="144"/>
        <v>0</v>
      </c>
      <c r="AL40" s="25">
        <f>SUM(AL9:AL13)*AL30</f>
        <v>0</v>
      </c>
      <c r="AM40" s="17"/>
      <c r="AN40" s="130">
        <f t="shared" si="145"/>
        <v>0</v>
      </c>
      <c r="AO40" s="134"/>
      <c r="AP40" s="63"/>
      <c r="AQ40" s="63"/>
      <c r="AU40" s="1"/>
      <c r="AW40" s="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</row>
    <row r="41" spans="1:62" s="3" customFormat="1" hidden="1" x14ac:dyDescent="0.2">
      <c r="A41" s="64"/>
      <c r="B41" s="70" t="s">
        <v>80</v>
      </c>
      <c r="C41" s="63"/>
      <c r="D41" s="23"/>
      <c r="E41" s="25"/>
      <c r="F41" s="17"/>
      <c r="G41" s="130">
        <f t="shared" si="134"/>
        <v>0</v>
      </c>
      <c r="H41" s="25">
        <f>H48</f>
        <v>0</v>
      </c>
      <c r="I41" s="17"/>
      <c r="J41" s="130">
        <f t="shared" si="135"/>
        <v>0</v>
      </c>
      <c r="K41" s="25">
        <f>K48</f>
        <v>0</v>
      </c>
      <c r="L41" s="17"/>
      <c r="M41" s="130">
        <f t="shared" si="136"/>
        <v>0</v>
      </c>
      <c r="N41" s="25"/>
      <c r="O41" s="17"/>
      <c r="P41" s="130">
        <f t="shared" si="137"/>
        <v>0</v>
      </c>
      <c r="Q41" s="25"/>
      <c r="R41" s="17"/>
      <c r="S41" s="130">
        <f t="shared" si="138"/>
        <v>0</v>
      </c>
      <c r="T41" s="25"/>
      <c r="U41" s="17"/>
      <c r="V41" s="130">
        <f t="shared" si="139"/>
        <v>0</v>
      </c>
      <c r="W41" s="25"/>
      <c r="X41" s="17"/>
      <c r="Y41" s="130">
        <f t="shared" si="140"/>
        <v>0</v>
      </c>
      <c r="Z41" s="25"/>
      <c r="AA41" s="17"/>
      <c r="AB41" s="130">
        <f t="shared" si="141"/>
        <v>0</v>
      </c>
      <c r="AC41" s="25"/>
      <c r="AD41" s="17"/>
      <c r="AE41" s="130">
        <f t="shared" si="142"/>
        <v>0</v>
      </c>
      <c r="AF41" s="25"/>
      <c r="AG41" s="17"/>
      <c r="AH41" s="130">
        <f t="shared" si="143"/>
        <v>0</v>
      </c>
      <c r="AI41" s="25">
        <f>AI48</f>
        <v>0</v>
      </c>
      <c r="AJ41" s="17"/>
      <c r="AK41" s="130">
        <f t="shared" si="144"/>
        <v>0</v>
      </c>
      <c r="AL41" s="25">
        <f>AL48</f>
        <v>0</v>
      </c>
      <c r="AM41" s="17"/>
      <c r="AN41" s="130">
        <f t="shared" si="145"/>
        <v>0</v>
      </c>
      <c r="AO41" s="134"/>
      <c r="AP41" s="63"/>
      <c r="AQ41" s="63"/>
      <c r="AU41" s="1"/>
      <c r="AW41" s="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</row>
    <row r="42" spans="1:62" s="3" customFormat="1" hidden="1" x14ac:dyDescent="0.2">
      <c r="A42" s="64"/>
      <c r="B42" s="70" t="s">
        <v>81</v>
      </c>
      <c r="C42" s="63"/>
      <c r="D42" s="23"/>
      <c r="E42" s="25"/>
      <c r="F42" s="17"/>
      <c r="G42" s="130">
        <f t="shared" si="134"/>
        <v>0</v>
      </c>
      <c r="H42" s="25"/>
      <c r="I42" s="17"/>
      <c r="J42" s="130">
        <f t="shared" si="135"/>
        <v>0</v>
      </c>
      <c r="K42" s="25"/>
      <c r="L42" s="17"/>
      <c r="M42" s="130">
        <f t="shared" si="136"/>
        <v>0</v>
      </c>
      <c r="N42" s="25"/>
      <c r="O42" s="17"/>
      <c r="P42" s="130">
        <f t="shared" si="137"/>
        <v>0</v>
      </c>
      <c r="Q42" s="25"/>
      <c r="R42" s="17"/>
      <c r="S42" s="130">
        <f t="shared" si="138"/>
        <v>0</v>
      </c>
      <c r="T42" s="25"/>
      <c r="U42" s="17"/>
      <c r="V42" s="130">
        <f t="shared" si="139"/>
        <v>0</v>
      </c>
      <c r="W42" s="25"/>
      <c r="X42" s="17"/>
      <c r="Y42" s="130">
        <f t="shared" si="140"/>
        <v>0</v>
      </c>
      <c r="Z42" s="25"/>
      <c r="AA42" s="17"/>
      <c r="AB42" s="130">
        <f t="shared" si="141"/>
        <v>0</v>
      </c>
      <c r="AC42" s="25"/>
      <c r="AD42" s="17"/>
      <c r="AE42" s="130">
        <f t="shared" si="142"/>
        <v>0</v>
      </c>
      <c r="AF42" s="25"/>
      <c r="AG42" s="17"/>
      <c r="AH42" s="130">
        <f t="shared" si="143"/>
        <v>0</v>
      </c>
      <c r="AI42" s="25"/>
      <c r="AJ42" s="17"/>
      <c r="AK42" s="130">
        <f t="shared" si="144"/>
        <v>0</v>
      </c>
      <c r="AL42" s="25"/>
      <c r="AM42" s="17"/>
      <c r="AN42" s="130">
        <f t="shared" si="145"/>
        <v>0</v>
      </c>
      <c r="AO42" s="134"/>
      <c r="AP42" s="63"/>
      <c r="AQ42" s="63"/>
      <c r="AU42" s="1"/>
      <c r="AW42" s="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</row>
    <row r="43" spans="1:62" s="4" customFormat="1" hidden="1" x14ac:dyDescent="0.2">
      <c r="A43" s="71"/>
      <c r="B43" s="72" t="s">
        <v>82</v>
      </c>
      <c r="C43" s="69"/>
      <c r="D43" s="139">
        <f>SUM(D37:D42)</f>
        <v>0</v>
      </c>
      <c r="E43" s="140">
        <f>SUM(E37:E42)-E38</f>
        <v>0</v>
      </c>
      <c r="F43" s="141">
        <f>SUM(F37:F42)-F38</f>
        <v>0</v>
      </c>
      <c r="G43" s="139">
        <f t="shared" si="134"/>
        <v>0</v>
      </c>
      <c r="H43" s="140">
        <f>SUM(H37:H42)-H38</f>
        <v>0</v>
      </c>
      <c r="I43" s="141">
        <f>SUM(I37:I42)-I38</f>
        <v>0</v>
      </c>
      <c r="J43" s="139"/>
      <c r="K43" s="140">
        <f>SUM(K37:K42)-K38</f>
        <v>0</v>
      </c>
      <c r="L43" s="141">
        <f>SUM(L37:L42)-L38</f>
        <v>0</v>
      </c>
      <c r="M43" s="139"/>
      <c r="N43" s="140">
        <f>SUM(N37:N42)-N38</f>
        <v>0</v>
      </c>
      <c r="O43" s="141">
        <f>SUM(O37:O42)-O38</f>
        <v>0</v>
      </c>
      <c r="P43" s="139"/>
      <c r="Q43" s="140">
        <f>SUM(Q37:Q42)-Q38</f>
        <v>0</v>
      </c>
      <c r="R43" s="141">
        <f>SUM(R37:R42)-R38</f>
        <v>0</v>
      </c>
      <c r="S43" s="139"/>
      <c r="T43" s="140">
        <f>SUM(T37:T42)-T38</f>
        <v>0</v>
      </c>
      <c r="U43" s="141">
        <f>SUM(U37:U42)-U38</f>
        <v>0</v>
      </c>
      <c r="V43" s="139"/>
      <c r="W43" s="140">
        <f>SUM(W37:W42)-W38</f>
        <v>0</v>
      </c>
      <c r="X43" s="141">
        <f>SUM(X37:X42)-X38</f>
        <v>0</v>
      </c>
      <c r="Y43" s="139"/>
      <c r="Z43" s="140">
        <f>SUM(Z37:Z42)-Z38</f>
        <v>0</v>
      </c>
      <c r="AA43" s="141">
        <f>SUM(AA37:AA42)-AA38</f>
        <v>0</v>
      </c>
      <c r="AB43" s="139"/>
      <c r="AC43" s="140">
        <f>SUM(AC37:AC42)-AC38</f>
        <v>0</v>
      </c>
      <c r="AD43" s="141">
        <f>SUM(AD37:AD42)-AD38</f>
        <v>0</v>
      </c>
      <c r="AE43" s="139"/>
      <c r="AF43" s="140">
        <f>SUM(AF37:AF42)-AF38</f>
        <v>0</v>
      </c>
      <c r="AG43" s="141">
        <f>SUM(AG37:AG42)-AG38</f>
        <v>0</v>
      </c>
      <c r="AH43" s="139"/>
      <c r="AI43" s="140">
        <f>SUM(AI37:AI42)-AI38</f>
        <v>0</v>
      </c>
      <c r="AJ43" s="141">
        <f>SUM(AJ37:AJ42)-AJ38</f>
        <v>0</v>
      </c>
      <c r="AK43" s="139"/>
      <c r="AL43" s="140">
        <f>SUM(AL37:AL42)-AL38</f>
        <v>0</v>
      </c>
      <c r="AM43" s="141">
        <f>SUM(AM37:AM42)-AM38</f>
        <v>0</v>
      </c>
      <c r="AN43" s="139">
        <f>SUM(AN40:AN42)</f>
        <v>0</v>
      </c>
      <c r="AO43" s="134"/>
      <c r="AP43" s="69"/>
      <c r="AQ43" s="69"/>
      <c r="AU43" s="2"/>
      <c r="AW43" s="2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</row>
    <row r="44" spans="1:62" hidden="1" x14ac:dyDescent="0.2">
      <c r="B44" s="64" t="s">
        <v>4</v>
      </c>
      <c r="F44" s="142">
        <f>(F36+F43)*-1</f>
        <v>0</v>
      </c>
      <c r="G44" s="142"/>
      <c r="H44" s="142"/>
      <c r="I44" s="142">
        <f>(I36+I43)*-1</f>
        <v>0</v>
      </c>
      <c r="J44" s="142"/>
      <c r="K44" s="142"/>
      <c r="L44" s="142">
        <f>(L36+L43)*-1</f>
        <v>0</v>
      </c>
      <c r="M44" s="142"/>
      <c r="N44" s="142"/>
      <c r="O44" s="142">
        <f>(O36+O43)*-1</f>
        <v>0</v>
      </c>
      <c r="P44" s="142"/>
      <c r="Q44" s="142"/>
      <c r="R44" s="142">
        <f>(R36+R43)*-1</f>
        <v>0</v>
      </c>
      <c r="S44" s="142"/>
      <c r="T44" s="142"/>
      <c r="U44" s="142">
        <f>(U36+U43)*-1</f>
        <v>0</v>
      </c>
      <c r="V44" s="142"/>
      <c r="W44" s="142"/>
      <c r="X44" s="142">
        <f>(X36+X43)*-1</f>
        <v>0</v>
      </c>
      <c r="Y44" s="142"/>
      <c r="Z44" s="142"/>
      <c r="AA44" s="142">
        <f>(AA36+AA43)*-1</f>
        <v>0</v>
      </c>
      <c r="AB44" s="142"/>
      <c r="AC44" s="142"/>
      <c r="AD44" s="142">
        <f>(AD36+AD43)*-1</f>
        <v>0</v>
      </c>
      <c r="AE44" s="142"/>
      <c r="AF44" s="142"/>
      <c r="AG44" s="142">
        <f>(AG36+AG43)*-1</f>
        <v>0</v>
      </c>
      <c r="AH44" s="142"/>
      <c r="AI44" s="142"/>
      <c r="AJ44" s="142">
        <f>(AJ36+AJ43)*-1</f>
        <v>0</v>
      </c>
      <c r="AK44" s="142"/>
      <c r="AL44" s="142"/>
      <c r="AM44" s="142">
        <f>(AM36+AM43)*-1</f>
        <v>0</v>
      </c>
    </row>
    <row r="45" spans="1:62" hidden="1" x14ac:dyDescent="0.2">
      <c r="B45" s="71" t="s">
        <v>68</v>
      </c>
      <c r="C45" s="63" t="s">
        <v>51</v>
      </c>
      <c r="E45" s="143">
        <f>SUMIF($D4:$D25,"Moms",E4:E25)</f>
        <v>0</v>
      </c>
      <c r="H45" s="143">
        <f>SUMIF($D4:$D25,"Moms",H4:H25)</f>
        <v>0</v>
      </c>
      <c r="K45" s="143">
        <f>SUMIF($D4:$D25,"Moms",K4:K25)</f>
        <v>0</v>
      </c>
      <c r="N45" s="143">
        <f>SUMIF($D4:$D25,"Moms",N4:N25)</f>
        <v>0</v>
      </c>
      <c r="Q45" s="143">
        <f>SUMIF($D4:$D25,"Moms",Q4:Q25)</f>
        <v>0</v>
      </c>
      <c r="T45" s="143">
        <f>SUMIF($D4:$D25,"Moms",T4:T25)</f>
        <v>0</v>
      </c>
      <c r="W45" s="143">
        <f>SUMIF($D4:$D25,"Moms",W4:W25)</f>
        <v>0</v>
      </c>
      <c r="Z45" s="143">
        <f>SUMIF($D4:$D25,"Moms",Z4:Z25)</f>
        <v>0</v>
      </c>
      <c r="AC45" s="143">
        <f>SUMIF($D4:$D25,"Moms",AC4:AC25)</f>
        <v>0</v>
      </c>
      <c r="AF45" s="143">
        <f>SUMIF($D4:$D25,"Moms",AF4:AF25)</f>
        <v>0</v>
      </c>
      <c r="AI45" s="143">
        <f>SUMIF($D4:$D25,"Moms",AI4:AI25)</f>
        <v>0</v>
      </c>
      <c r="AL45" s="143">
        <f>SUMIF($D4:$D25,"Moms",AL4:AL25)</f>
        <v>0</v>
      </c>
    </row>
    <row r="46" spans="1:62" hidden="1" x14ac:dyDescent="0.2">
      <c r="C46" s="63" t="s">
        <v>52</v>
      </c>
      <c r="E46" s="63">
        <f>E45*0.25</f>
        <v>0</v>
      </c>
      <c r="H46" s="63">
        <f>H45*0.25</f>
        <v>0</v>
      </c>
      <c r="K46" s="63">
        <f>K45*0.25</f>
        <v>0</v>
      </c>
      <c r="N46" s="63">
        <f>N45*0.25</f>
        <v>0</v>
      </c>
      <c r="Q46" s="63">
        <f>Q45*0.25</f>
        <v>0</v>
      </c>
      <c r="T46" s="63">
        <f>T45*0.25</f>
        <v>0</v>
      </c>
      <c r="W46" s="63">
        <f>W45*0.25</f>
        <v>0</v>
      </c>
      <c r="Z46" s="63">
        <f>Z45*0.25</f>
        <v>0</v>
      </c>
      <c r="AC46" s="63">
        <f>AC45*0.25</f>
        <v>0</v>
      </c>
      <c r="AF46" s="63">
        <f>AF45*0.25</f>
        <v>0</v>
      </c>
      <c r="AI46" s="63">
        <f>AI45*0.25</f>
        <v>0</v>
      </c>
      <c r="AL46" s="63">
        <f>AL45*0.25</f>
        <v>0</v>
      </c>
      <c r="AO46" s="69" t="s">
        <v>53</v>
      </c>
    </row>
    <row r="47" spans="1:62" hidden="1" x14ac:dyDescent="0.2">
      <c r="C47" s="63" t="s">
        <v>63</v>
      </c>
      <c r="J47" s="144" t="s">
        <v>58</v>
      </c>
      <c r="K47" s="145">
        <f>D48</f>
        <v>0</v>
      </c>
      <c r="S47" s="144" t="s">
        <v>57</v>
      </c>
      <c r="T47" s="145">
        <f>SUM(E46:K46)*-1</f>
        <v>0</v>
      </c>
      <c r="AB47" s="144" t="s">
        <v>54</v>
      </c>
      <c r="AC47" s="145">
        <f>SUM(N46:T46)*-1</f>
        <v>0</v>
      </c>
      <c r="AK47" s="144" t="s">
        <v>55</v>
      </c>
      <c r="AL47" s="145">
        <f>SUM(W46:AC46)*-1</f>
        <v>0</v>
      </c>
      <c r="AN47" s="63" t="s">
        <v>56</v>
      </c>
      <c r="AO47" s="145">
        <f>SUM(AF46:AL46)*-1</f>
        <v>0</v>
      </c>
    </row>
    <row r="48" spans="1:62" hidden="1" x14ac:dyDescent="0.2">
      <c r="C48" s="63" t="s">
        <v>62</v>
      </c>
      <c r="D48" s="63">
        <f>D41</f>
        <v>0</v>
      </c>
      <c r="E48" s="63">
        <f>D48-E46</f>
        <v>0</v>
      </c>
      <c r="H48" s="63">
        <f>E48-H46</f>
        <v>0</v>
      </c>
      <c r="K48" s="63">
        <f>H48-K46-K47</f>
        <v>0</v>
      </c>
      <c r="N48" s="63">
        <f>K48-N46-N47</f>
        <v>0</v>
      </c>
      <c r="Q48" s="63">
        <f>N48-Q46-Q47</f>
        <v>0</v>
      </c>
      <c r="T48" s="63">
        <f>Q48-T46-T47</f>
        <v>0</v>
      </c>
      <c r="W48" s="63">
        <f>T48-W46-W47</f>
        <v>0</v>
      </c>
      <c r="Z48" s="63">
        <f>W48-Z46-Z47</f>
        <v>0</v>
      </c>
      <c r="AC48" s="63">
        <f>Z48-AC46-AC47</f>
        <v>0</v>
      </c>
      <c r="AD48" s="144"/>
      <c r="AE48" s="144"/>
      <c r="AF48" s="63">
        <f>AC48-AF46-AF47</f>
        <v>0</v>
      </c>
      <c r="AG48" s="144"/>
      <c r="AH48" s="144"/>
      <c r="AI48" s="63">
        <f>AF48-AI46-AI47</f>
        <v>0</v>
      </c>
      <c r="AJ48" s="144"/>
      <c r="AK48" s="144"/>
      <c r="AL48" s="63">
        <f>AI48-AL46-AL47</f>
        <v>0</v>
      </c>
      <c r="AM48" s="144"/>
      <c r="AN48" s="144"/>
      <c r="AO48" s="63"/>
    </row>
    <row r="49" spans="2:41" hidden="1" x14ac:dyDescent="0.2">
      <c r="AO49" s="63"/>
    </row>
    <row r="50" spans="2:41" hidden="1" x14ac:dyDescent="0.2">
      <c r="D50" s="70" t="s">
        <v>24</v>
      </c>
      <c r="E50" s="146">
        <v>1</v>
      </c>
      <c r="F50" s="146"/>
      <c r="G50" s="146"/>
      <c r="H50" s="146">
        <v>2</v>
      </c>
      <c r="I50" s="146"/>
      <c r="J50" s="146"/>
      <c r="K50" s="146">
        <v>3</v>
      </c>
      <c r="L50" s="146"/>
      <c r="M50" s="146"/>
      <c r="N50" s="146">
        <v>4</v>
      </c>
      <c r="O50" s="146"/>
      <c r="P50" s="146"/>
      <c r="Q50" s="146">
        <v>5</v>
      </c>
      <c r="R50" s="146"/>
      <c r="S50" s="146"/>
      <c r="T50" s="146">
        <v>6</v>
      </c>
      <c r="U50" s="146"/>
      <c r="V50" s="146"/>
      <c r="W50" s="146">
        <v>7</v>
      </c>
      <c r="X50" s="146"/>
      <c r="Y50" s="146"/>
      <c r="Z50" s="146">
        <v>8</v>
      </c>
      <c r="AA50" s="146"/>
      <c r="AB50" s="146"/>
      <c r="AC50" s="146">
        <v>9</v>
      </c>
      <c r="AD50" s="146"/>
      <c r="AE50" s="146"/>
      <c r="AF50" s="146">
        <v>10</v>
      </c>
      <c r="AG50" s="146"/>
      <c r="AH50" s="146"/>
      <c r="AI50" s="146">
        <v>11</v>
      </c>
      <c r="AJ50" s="146"/>
      <c r="AK50" s="146"/>
      <c r="AL50" s="146">
        <v>12</v>
      </c>
    </row>
    <row r="51" spans="2:41" hidden="1" x14ac:dyDescent="0.2">
      <c r="B51" s="71" t="s">
        <v>69</v>
      </c>
      <c r="C51" s="63" t="s">
        <v>72</v>
      </c>
      <c r="D51" s="147">
        <f>D35</f>
        <v>0</v>
      </c>
      <c r="E51" s="63">
        <f>SUM(F35)</f>
        <v>0</v>
      </c>
      <c r="H51" s="63">
        <f>SUM(I35)</f>
        <v>0</v>
      </c>
      <c r="K51" s="63">
        <f>SUM(L35)</f>
        <v>0</v>
      </c>
      <c r="N51" s="63">
        <f>SUM(O35)</f>
        <v>0</v>
      </c>
      <c r="Q51" s="63">
        <f>SUM(R35)</f>
        <v>0</v>
      </c>
      <c r="T51" s="63">
        <f>SUM(U35)</f>
        <v>0</v>
      </c>
      <c r="W51" s="63">
        <f>SUM(X35)</f>
        <v>0</v>
      </c>
      <c r="Z51" s="63">
        <f>SUM(AA35)</f>
        <v>0</v>
      </c>
      <c r="AC51" s="63">
        <f>SUM(AD35)</f>
        <v>0</v>
      </c>
      <c r="AF51" s="63">
        <f>SUM(AG35)</f>
        <v>0</v>
      </c>
      <c r="AI51" s="63">
        <f>SUM(AJ35)</f>
        <v>0</v>
      </c>
      <c r="AL51" s="63">
        <f>SUM(AM35)</f>
        <v>0</v>
      </c>
    </row>
    <row r="52" spans="2:41" hidden="1" x14ac:dyDescent="0.2">
      <c r="C52" s="70" t="s">
        <v>64</v>
      </c>
      <c r="D52" s="147">
        <f>D51</f>
        <v>0</v>
      </c>
      <c r="E52" s="70">
        <f>D52+E25</f>
        <v>0</v>
      </c>
      <c r="F52" s="70"/>
      <c r="G52" s="70"/>
      <c r="H52" s="70">
        <f>E52+H25</f>
        <v>0</v>
      </c>
      <c r="I52" s="70"/>
      <c r="J52" s="70"/>
      <c r="K52" s="70">
        <f>H52+K25</f>
        <v>0</v>
      </c>
      <c r="L52" s="70"/>
      <c r="M52" s="70"/>
      <c r="N52" s="70">
        <f>K52+N25</f>
        <v>0</v>
      </c>
      <c r="O52" s="70"/>
      <c r="P52" s="70"/>
      <c r="Q52" s="70">
        <f>N52+Q25</f>
        <v>0</v>
      </c>
      <c r="R52" s="70"/>
      <c r="S52" s="70"/>
      <c r="T52" s="70">
        <f>Q52+T25</f>
        <v>0</v>
      </c>
      <c r="U52" s="70"/>
      <c r="V52" s="70"/>
      <c r="W52" s="70">
        <f>T52+W25</f>
        <v>0</v>
      </c>
      <c r="X52" s="70"/>
      <c r="Y52" s="70"/>
      <c r="Z52" s="70">
        <f>W52+Z25</f>
        <v>0</v>
      </c>
      <c r="AA52" s="70"/>
      <c r="AB52" s="70"/>
      <c r="AC52" s="70">
        <f>Z52+AC25</f>
        <v>0</v>
      </c>
      <c r="AD52" s="70"/>
      <c r="AE52" s="70"/>
      <c r="AF52" s="70">
        <f>AC52+AF25</f>
        <v>0</v>
      </c>
      <c r="AG52" s="70"/>
      <c r="AH52" s="70"/>
      <c r="AI52" s="70">
        <f>AF52+AI25</f>
        <v>0</v>
      </c>
      <c r="AJ52" s="70"/>
      <c r="AK52" s="70"/>
      <c r="AL52" s="70">
        <f>AI52+AL25</f>
        <v>0</v>
      </c>
    </row>
    <row r="53" spans="2:41" hidden="1" x14ac:dyDescent="0.2">
      <c r="C53" s="70" t="s">
        <v>65</v>
      </c>
      <c r="D53" s="147">
        <f>D52</f>
        <v>0</v>
      </c>
      <c r="E53" s="70">
        <f>IF(RealMaaned&gt;=E50,E51,D53+E25)</f>
        <v>0</v>
      </c>
      <c r="F53" s="70"/>
      <c r="G53" s="70"/>
      <c r="H53" s="70">
        <f>IF(RealMaaned&gt;=H50,H51,E53+H25)</f>
        <v>0</v>
      </c>
      <c r="I53" s="70"/>
      <c r="J53" s="70"/>
      <c r="K53" s="70">
        <f>IF(RealMaaned&gt;=K50,K51,H53+K25)</f>
        <v>0</v>
      </c>
      <c r="L53" s="70"/>
      <c r="M53" s="70"/>
      <c r="N53" s="70">
        <f>IF(RealMaaned&gt;=N50,N51,K53+N25)</f>
        <v>0</v>
      </c>
      <c r="O53" s="70"/>
      <c r="P53" s="70"/>
      <c r="Q53" s="70">
        <f>IF(RealMaaned&gt;=Q50,Q51,N53+Q25)</f>
        <v>0</v>
      </c>
      <c r="R53" s="70"/>
      <c r="S53" s="70"/>
      <c r="T53" s="70">
        <f>IF(RealMaaned&gt;=T50,T51,Q53+T25)</f>
        <v>0</v>
      </c>
      <c r="U53" s="70"/>
      <c r="V53" s="70"/>
      <c r="W53" s="70">
        <f>IF(RealMaaned&gt;=W50,W51,T53+W25)</f>
        <v>0</v>
      </c>
      <c r="X53" s="70"/>
      <c r="Y53" s="70"/>
      <c r="Z53" s="70">
        <f>IF(RealMaaned&gt;=Z50,Z51,W53+Z25)</f>
        <v>0</v>
      </c>
      <c r="AA53" s="70"/>
      <c r="AB53" s="70"/>
      <c r="AC53" s="70">
        <f>IF(RealMaaned&gt;=AC50,AC51,Z53+AC25)</f>
        <v>0</v>
      </c>
      <c r="AD53" s="70"/>
      <c r="AE53" s="70"/>
      <c r="AF53" s="70">
        <f>IF(RealMaaned&gt;=AF50,AF51,AC53+AF25)</f>
        <v>0</v>
      </c>
      <c r="AG53" s="70"/>
      <c r="AH53" s="70"/>
      <c r="AI53" s="70">
        <f>IF(RealMaaned&gt;=AI50,AI51,AF53+AI25)</f>
        <v>0</v>
      </c>
      <c r="AJ53" s="70"/>
      <c r="AK53" s="70"/>
      <c r="AL53" s="70">
        <f>IF(RealMaaned&gt;=AL50,AL51,AI53+AL25)</f>
        <v>0</v>
      </c>
    </row>
  </sheetData>
  <sheetProtection algorithmName="SHA-512" hashValue="3ujMXGMLI4bD6KGcnhZw1udJtzO/CNtsiMof9D31S6aLVXqjJw+nywh23szmfsbLmWil3ZtoIz9WmVVOEoH0Mw==" saltValue="Wus8JD7Tw8gjdLEFHAw6cg==" spinCount="100000" sheet="1" objects="1" scenarios="1"/>
  <mergeCells count="27">
    <mergeCell ref="T2:V2"/>
    <mergeCell ref="E2:G2"/>
    <mergeCell ref="H2:J2"/>
    <mergeCell ref="K2:M2"/>
    <mergeCell ref="N2:P2"/>
    <mergeCell ref="Q2:S2"/>
    <mergeCell ref="AW2:BH2"/>
    <mergeCell ref="BI2:BT2"/>
    <mergeCell ref="BU2:CF2"/>
    <mergeCell ref="E31:G31"/>
    <mergeCell ref="H31:J31"/>
    <mergeCell ref="K31:M31"/>
    <mergeCell ref="N31:P31"/>
    <mergeCell ref="Q31:S31"/>
    <mergeCell ref="T31:V31"/>
    <mergeCell ref="W31:Y31"/>
    <mergeCell ref="W2:Y2"/>
    <mergeCell ref="Z2:AB2"/>
    <mergeCell ref="AC2:AE2"/>
    <mergeCell ref="AF2:AH2"/>
    <mergeCell ref="AI2:AK2"/>
    <mergeCell ref="AL2:AN2"/>
    <mergeCell ref="Z31:AB31"/>
    <mergeCell ref="AC31:AE31"/>
    <mergeCell ref="AF31:AH31"/>
    <mergeCell ref="AI31:AK31"/>
    <mergeCell ref="AL31:AN31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2</xdr:col>
                    <xdr:colOff>3098800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CP5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4" sqref="E4"/>
    </sheetView>
  </sheetViews>
  <sheetFormatPr baseColWidth="10" defaultColWidth="8.83203125" defaultRowHeight="15" x14ac:dyDescent="0.2"/>
  <cols>
    <col min="1" max="1" width="2.33203125" style="63" customWidth="1"/>
    <col min="2" max="2" width="5.5" style="64" customWidth="1"/>
    <col min="3" max="3" width="45.33203125" style="63" customWidth="1"/>
    <col min="4" max="5" width="9.83203125" style="63" customWidth="1"/>
    <col min="6" max="6" width="9.83203125" style="63" hidden="1" customWidth="1"/>
    <col min="7" max="7" width="8.83203125" style="63" hidden="1" customWidth="1"/>
    <col min="8" max="8" width="9.83203125" style="63" customWidth="1"/>
    <col min="9" max="9" width="9.83203125" style="63" hidden="1" customWidth="1"/>
    <col min="10" max="10" width="8.83203125" style="63" hidden="1" customWidth="1"/>
    <col min="11" max="11" width="9.83203125" style="63" customWidth="1"/>
    <col min="12" max="12" width="9.83203125" style="63" hidden="1" customWidth="1"/>
    <col min="13" max="13" width="8.83203125" style="63" hidden="1" customWidth="1"/>
    <col min="14" max="14" width="9.83203125" style="63" customWidth="1"/>
    <col min="15" max="15" width="9.83203125" style="63" hidden="1" customWidth="1"/>
    <col min="16" max="16" width="8.83203125" style="63" hidden="1" customWidth="1"/>
    <col min="17" max="17" width="9.83203125" style="63" customWidth="1"/>
    <col min="18" max="18" width="9.83203125" style="63" hidden="1" customWidth="1"/>
    <col min="19" max="19" width="8.83203125" style="63" hidden="1" customWidth="1"/>
    <col min="20" max="20" width="9.83203125" style="63" customWidth="1"/>
    <col min="21" max="21" width="9.83203125" style="63" hidden="1" customWidth="1"/>
    <col min="22" max="22" width="8.83203125" style="63" hidden="1" customWidth="1"/>
    <col min="23" max="23" width="9.83203125" style="63" customWidth="1"/>
    <col min="24" max="24" width="9.83203125" style="63" hidden="1" customWidth="1"/>
    <col min="25" max="25" width="8.83203125" style="63" hidden="1" customWidth="1"/>
    <col min="26" max="26" width="9.83203125" style="63" customWidth="1"/>
    <col min="27" max="27" width="9.83203125" style="63" hidden="1" customWidth="1"/>
    <col min="28" max="28" width="8.83203125" style="63" hidden="1" customWidth="1"/>
    <col min="29" max="29" width="9.83203125" style="63" customWidth="1"/>
    <col min="30" max="30" width="9.83203125" style="63" hidden="1" customWidth="1"/>
    <col min="31" max="31" width="8.83203125" style="63" hidden="1" customWidth="1"/>
    <col min="32" max="32" width="9.83203125" style="63" customWidth="1"/>
    <col min="33" max="33" width="9.83203125" style="63" hidden="1" customWidth="1"/>
    <col min="34" max="34" width="8.83203125" style="63" hidden="1" customWidth="1"/>
    <col min="35" max="35" width="9.83203125" style="63" customWidth="1"/>
    <col min="36" max="36" width="9.83203125" style="63" hidden="1" customWidth="1"/>
    <col min="37" max="37" width="8.83203125" style="63" hidden="1" customWidth="1"/>
    <col min="38" max="38" width="9.83203125" style="63" customWidth="1"/>
    <col min="39" max="39" width="9.83203125" style="63" hidden="1" customWidth="1"/>
    <col min="40" max="40" width="8.83203125" style="63" hidden="1" customWidth="1"/>
    <col min="41" max="41" width="8.83203125" style="69" customWidth="1"/>
    <col min="42" max="43" width="10.5" style="63" customWidth="1"/>
    <col min="44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1:84" ht="35" customHeight="1" x14ac:dyDescent="0.3">
      <c r="E1" s="63">
        <v>1</v>
      </c>
      <c r="F1" s="65">
        <v>1</v>
      </c>
      <c r="I1" s="34">
        <v>6</v>
      </c>
      <c r="J1" s="66"/>
      <c r="K1" s="66"/>
      <c r="L1" s="67" t="s">
        <v>20</v>
      </c>
      <c r="M1" s="68"/>
      <c r="N1" s="68"/>
      <c r="O1" s="68"/>
      <c r="AW1" s="10"/>
      <c r="AX1" s="41" t="s">
        <v>21</v>
      </c>
      <c r="AY1" s="40">
        <f>12-I1</f>
        <v>6</v>
      </c>
    </row>
    <row r="2" spans="1:84" s="3" customFormat="1" x14ac:dyDescent="0.2">
      <c r="A2" s="70"/>
      <c r="B2" s="71" t="s">
        <v>38</v>
      </c>
      <c r="C2" s="70"/>
      <c r="D2" s="72" t="s">
        <v>3</v>
      </c>
      <c r="E2" s="73" t="s">
        <v>14</v>
      </c>
      <c r="F2" s="74"/>
      <c r="G2" s="75"/>
      <c r="H2" s="73" t="s">
        <v>15</v>
      </c>
      <c r="I2" s="76"/>
      <c r="J2" s="75"/>
      <c r="K2" s="73" t="s">
        <v>16</v>
      </c>
      <c r="L2" s="74"/>
      <c r="M2" s="75"/>
      <c r="N2" s="73" t="s">
        <v>17</v>
      </c>
      <c r="O2" s="74"/>
      <c r="P2" s="75"/>
      <c r="Q2" s="73" t="s">
        <v>0</v>
      </c>
      <c r="R2" s="74"/>
      <c r="S2" s="75"/>
      <c r="T2" s="73" t="s">
        <v>18</v>
      </c>
      <c r="U2" s="74"/>
      <c r="V2" s="75"/>
      <c r="W2" s="73" t="s">
        <v>8</v>
      </c>
      <c r="X2" s="74"/>
      <c r="Y2" s="75"/>
      <c r="Z2" s="73" t="s">
        <v>9</v>
      </c>
      <c r="AA2" s="74"/>
      <c r="AB2" s="75"/>
      <c r="AC2" s="73" t="s">
        <v>10</v>
      </c>
      <c r="AD2" s="74"/>
      <c r="AE2" s="75"/>
      <c r="AF2" s="73" t="s">
        <v>11</v>
      </c>
      <c r="AG2" s="74"/>
      <c r="AH2" s="75"/>
      <c r="AI2" s="73" t="s">
        <v>12</v>
      </c>
      <c r="AJ2" s="74"/>
      <c r="AK2" s="75"/>
      <c r="AL2" s="73" t="s">
        <v>13</v>
      </c>
      <c r="AM2" s="74"/>
      <c r="AN2" s="74"/>
      <c r="AO2" s="77"/>
      <c r="AP2" s="78" t="s">
        <v>107</v>
      </c>
      <c r="AQ2" s="79"/>
      <c r="AR2" s="27"/>
      <c r="AS2" s="28"/>
      <c r="AT2" s="28"/>
      <c r="AU2" s="28" t="s">
        <v>103</v>
      </c>
      <c r="AV2" s="31"/>
      <c r="AW2" s="58" t="s">
        <v>22</v>
      </c>
      <c r="AX2" s="58"/>
      <c r="AY2" s="60"/>
      <c r="AZ2" s="58"/>
      <c r="BA2" s="58"/>
      <c r="BB2" s="58"/>
      <c r="BC2" s="58"/>
      <c r="BD2" s="58"/>
      <c r="BE2" s="58"/>
      <c r="BF2" s="58"/>
      <c r="BG2" s="58"/>
      <c r="BH2" s="59"/>
      <c r="BI2" s="57" t="s">
        <v>101</v>
      </c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9"/>
      <c r="BU2" s="57" t="s">
        <v>102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9"/>
    </row>
    <row r="3" spans="1:84" s="3" customFormat="1" x14ac:dyDescent="0.2">
      <c r="A3" s="70"/>
      <c r="B3" s="64" t="s">
        <v>110</v>
      </c>
      <c r="C3" s="70" t="s">
        <v>111</v>
      </c>
      <c r="D3" s="70"/>
      <c r="E3" s="82" t="s">
        <v>39</v>
      </c>
      <c r="F3" s="83" t="s">
        <v>2</v>
      </c>
      <c r="G3" s="84" t="s">
        <v>1</v>
      </c>
      <c r="H3" s="82" t="s">
        <v>40</v>
      </c>
      <c r="I3" s="83" t="s">
        <v>2</v>
      </c>
      <c r="J3" s="84" t="s">
        <v>1</v>
      </c>
      <c r="K3" s="82" t="s">
        <v>41</v>
      </c>
      <c r="L3" s="83" t="s">
        <v>2</v>
      </c>
      <c r="M3" s="84" t="s">
        <v>1</v>
      </c>
      <c r="N3" s="82" t="s">
        <v>42</v>
      </c>
      <c r="O3" s="83" t="s">
        <v>2</v>
      </c>
      <c r="P3" s="84" t="s">
        <v>1</v>
      </c>
      <c r="Q3" s="82" t="s">
        <v>43</v>
      </c>
      <c r="R3" s="83" t="s">
        <v>2</v>
      </c>
      <c r="S3" s="84" t="s">
        <v>1</v>
      </c>
      <c r="T3" s="82" t="s">
        <v>44</v>
      </c>
      <c r="U3" s="83" t="s">
        <v>2</v>
      </c>
      <c r="V3" s="84" t="s">
        <v>1</v>
      </c>
      <c r="W3" s="82" t="s">
        <v>45</v>
      </c>
      <c r="X3" s="83" t="s">
        <v>2</v>
      </c>
      <c r="Y3" s="84" t="s">
        <v>1</v>
      </c>
      <c r="Z3" s="82" t="s">
        <v>46</v>
      </c>
      <c r="AA3" s="83" t="s">
        <v>2</v>
      </c>
      <c r="AB3" s="84" t="s">
        <v>1</v>
      </c>
      <c r="AC3" s="82" t="s">
        <v>47</v>
      </c>
      <c r="AD3" s="83" t="s">
        <v>2</v>
      </c>
      <c r="AE3" s="84" t="s">
        <v>1</v>
      </c>
      <c r="AF3" s="82" t="s">
        <v>48</v>
      </c>
      <c r="AG3" s="83" t="s">
        <v>2</v>
      </c>
      <c r="AH3" s="84" t="s">
        <v>1</v>
      </c>
      <c r="AI3" s="82" t="s">
        <v>49</v>
      </c>
      <c r="AJ3" s="83" t="s">
        <v>2</v>
      </c>
      <c r="AK3" s="84" t="s">
        <v>1</v>
      </c>
      <c r="AL3" s="85" t="s">
        <v>50</v>
      </c>
      <c r="AM3" s="86" t="s">
        <v>2</v>
      </c>
      <c r="AN3" s="86" t="s">
        <v>1</v>
      </c>
      <c r="AO3" s="87" t="s">
        <v>99</v>
      </c>
      <c r="AP3" s="88" t="s">
        <v>100</v>
      </c>
      <c r="AQ3" s="88" t="s">
        <v>26</v>
      </c>
      <c r="AR3" s="29"/>
      <c r="AS3" s="30"/>
      <c r="AT3" s="39" t="s">
        <v>109</v>
      </c>
      <c r="AU3" s="32" t="s">
        <v>19</v>
      </c>
      <c r="AV3" s="33" t="s">
        <v>26</v>
      </c>
      <c r="AW3" s="3">
        <v>1</v>
      </c>
      <c r="AX3" s="3">
        <v>2</v>
      </c>
      <c r="AY3" s="3">
        <v>3</v>
      </c>
      <c r="AZ3" s="3">
        <v>4</v>
      </c>
      <c r="BA3" s="3">
        <v>5</v>
      </c>
      <c r="BB3" s="3">
        <v>6</v>
      </c>
      <c r="BC3" s="3">
        <v>7</v>
      </c>
      <c r="BD3" s="3">
        <v>8</v>
      </c>
      <c r="BE3" s="3">
        <v>9</v>
      </c>
      <c r="BF3" s="3">
        <v>10</v>
      </c>
      <c r="BG3" s="3">
        <v>11</v>
      </c>
      <c r="BH3" s="3">
        <v>12</v>
      </c>
      <c r="BI3" s="3">
        <v>1</v>
      </c>
      <c r="BJ3" s="3">
        <v>2</v>
      </c>
      <c r="BK3" s="3">
        <v>3</v>
      </c>
      <c r="BL3" s="3">
        <v>4</v>
      </c>
      <c r="BM3" s="3">
        <v>5</v>
      </c>
      <c r="BN3" s="3">
        <v>6</v>
      </c>
      <c r="BO3" s="3">
        <v>7</v>
      </c>
      <c r="BP3" s="3">
        <v>8</v>
      </c>
      <c r="BQ3" s="3">
        <v>9</v>
      </c>
      <c r="BR3" s="3">
        <v>10</v>
      </c>
      <c r="BS3" s="3">
        <v>11</v>
      </c>
      <c r="BT3" s="3">
        <v>12</v>
      </c>
      <c r="BU3" s="3">
        <v>1</v>
      </c>
      <c r="BV3" s="3">
        <v>2</v>
      </c>
      <c r="BW3" s="3">
        <v>3</v>
      </c>
      <c r="BX3" s="3">
        <v>4</v>
      </c>
      <c r="BY3" s="3">
        <v>5</v>
      </c>
      <c r="BZ3" s="3">
        <v>6</v>
      </c>
      <c r="CA3" s="3">
        <v>7</v>
      </c>
      <c r="CB3" s="3">
        <v>8</v>
      </c>
      <c r="CC3" s="3">
        <v>9</v>
      </c>
      <c r="CD3" s="3">
        <v>10</v>
      </c>
      <c r="CE3" s="3">
        <v>11</v>
      </c>
      <c r="CF3" s="3">
        <v>12</v>
      </c>
    </row>
    <row r="4" spans="1:84" s="3" customFormat="1" x14ac:dyDescent="0.2">
      <c r="A4" s="70"/>
      <c r="B4" s="64"/>
      <c r="C4" s="70" t="s">
        <v>89</v>
      </c>
      <c r="D4" s="70" t="s">
        <v>3</v>
      </c>
      <c r="E4" s="14"/>
      <c r="F4" s="19"/>
      <c r="G4" s="93">
        <f>F4-E4</f>
        <v>0</v>
      </c>
      <c r="H4" s="14"/>
      <c r="I4" s="19"/>
      <c r="J4" s="93">
        <f>I4-H4</f>
        <v>0</v>
      </c>
      <c r="K4" s="14"/>
      <c r="L4" s="19"/>
      <c r="M4" s="93">
        <f t="shared" ref="M4:M14" si="0">L4-K4</f>
        <v>0</v>
      </c>
      <c r="N4" s="14"/>
      <c r="O4" s="19"/>
      <c r="P4" s="93">
        <f t="shared" ref="P4:P14" si="1">O4-N4</f>
        <v>0</v>
      </c>
      <c r="Q4" s="14"/>
      <c r="R4" s="19"/>
      <c r="S4" s="93">
        <f t="shared" ref="S4:S14" si="2">R4-Q4</f>
        <v>0</v>
      </c>
      <c r="T4" s="14"/>
      <c r="U4" s="19"/>
      <c r="V4" s="93">
        <f t="shared" ref="V4:V14" si="3">U4-T4</f>
        <v>0</v>
      </c>
      <c r="W4" s="14"/>
      <c r="X4" s="19"/>
      <c r="Y4" s="93">
        <f t="shared" ref="Y4:Y14" si="4">X4-W4</f>
        <v>0</v>
      </c>
      <c r="Z4" s="14"/>
      <c r="AA4" s="19"/>
      <c r="AB4" s="93">
        <f t="shared" ref="AB4:AB14" si="5">AA4-Z4</f>
        <v>0</v>
      </c>
      <c r="AC4" s="14"/>
      <c r="AD4" s="19"/>
      <c r="AE4" s="93">
        <f t="shared" ref="AE4:AE14" si="6">AD4-AC4</f>
        <v>0</v>
      </c>
      <c r="AF4" s="14"/>
      <c r="AG4" s="19"/>
      <c r="AH4" s="93">
        <f t="shared" ref="AH4:AH14" si="7">AG4-AF4</f>
        <v>0</v>
      </c>
      <c r="AI4" s="14"/>
      <c r="AJ4" s="19"/>
      <c r="AK4" s="93">
        <f t="shared" ref="AK4:AK14" si="8">AJ4-AI4</f>
        <v>0</v>
      </c>
      <c r="AL4" s="14"/>
      <c r="AM4" s="19"/>
      <c r="AN4" s="93">
        <f t="shared" ref="AN4:AN14" si="9">AM4-AL4</f>
        <v>0</v>
      </c>
      <c r="AO4" s="94">
        <f t="shared" ref="AO4:AO14" si="10">INDEX(BI4:BT4,1,$I$1)</f>
        <v>0</v>
      </c>
      <c r="AP4" s="95">
        <f t="shared" ref="AP4:AP14" si="11">INDEX(BU4:CF4,1,$I$1)</f>
        <v>0</v>
      </c>
      <c r="AQ4" s="96">
        <f>AP4-AO4</f>
        <v>0</v>
      </c>
      <c r="AR4" s="6" t="str">
        <f t="shared" ref="AR4:AR14" si="12">C4</f>
        <v>OMSÆTNING I ALT</v>
      </c>
      <c r="AT4" s="9"/>
      <c r="AU4" s="37">
        <f>INDEX(AW4:BH4,1,$I$1)</f>
        <v>0</v>
      </c>
      <c r="AV4" s="9">
        <f>AU4-AT4</f>
        <v>0</v>
      </c>
      <c r="AW4" s="3">
        <f>AL4+AI4+AF4+AC4+Z4+W4+T4+Q4+N4+K4+H4+F4</f>
        <v>0</v>
      </c>
      <c r="AX4" s="3">
        <f>AL4+AI4+AF4+AC4+Z4+W4+T4+Q4+N4+K4+I4+F4</f>
        <v>0</v>
      </c>
      <c r="AY4" s="3">
        <f>AL4+AI4+AF4+AC4+Z4+W4+T4+Q4+N4+L4+I4+F4</f>
        <v>0</v>
      </c>
      <c r="AZ4" s="3">
        <f>AL4+AI4+AF4+AC4+Z4+W4+T4+Q4+O4+L4+I4+F4</f>
        <v>0</v>
      </c>
      <c r="BA4" s="3">
        <f>AL4+AI4+AF4+AC4+Z4+W4+T4+R4+O4+L4+I4+F4</f>
        <v>0</v>
      </c>
      <c r="BB4" s="3">
        <f>AL4+AI4+AF4+AC4+Z4+W4+U4+R4+O4+L4+I4+F4</f>
        <v>0</v>
      </c>
      <c r="BC4" s="3">
        <f>AL4+AI4+AF4+AC4+Z4+X4+U4+R4+O4+L4+I4+F4</f>
        <v>0</v>
      </c>
      <c r="BD4" s="3">
        <f>AL4+AI4+AF4+AC4+AA4+X4+U4+R4+O4+L4+I4+F4</f>
        <v>0</v>
      </c>
      <c r="BE4" s="3">
        <f>AL4+AI4+AF4+AD4+AA4+X4+U4+R4+O4+L4+I4+F4</f>
        <v>0</v>
      </c>
      <c r="BF4" s="3">
        <f>AL4+AI4+AG4+AD4+AA4+X4+U4+R4+O4+L4+I4+F4</f>
        <v>0</v>
      </c>
      <c r="BG4" s="3">
        <f>AL4+AJ4+AG4+AD4+AA4+X4+U4+R4+O4+L4+I4+F4</f>
        <v>0</v>
      </c>
      <c r="BH4" s="3">
        <f>AM4+AJ4+AG4+AD4+AA4+X4+U4+R4+O4+L4+I4+F4</f>
        <v>0</v>
      </c>
      <c r="BI4" s="3">
        <f>E4</f>
        <v>0</v>
      </c>
      <c r="BJ4" s="3">
        <f t="shared" ref="BJ4:BJ15" si="13">BI4+H4</f>
        <v>0</v>
      </c>
      <c r="BK4" s="3">
        <f t="shared" ref="BK4:BK15" si="14">BJ4+K4</f>
        <v>0</v>
      </c>
      <c r="BL4" s="3">
        <f t="shared" ref="BL4:BL15" si="15">BK4+N4</f>
        <v>0</v>
      </c>
      <c r="BM4" s="3">
        <f t="shared" ref="BM4:BM15" si="16">BL4+Q4</f>
        <v>0</v>
      </c>
      <c r="BN4" s="3">
        <f t="shared" ref="BN4:BN15" si="17">BM4+T4</f>
        <v>0</v>
      </c>
      <c r="BO4" s="3">
        <f t="shared" ref="BO4:BO15" si="18">BN4+W4</f>
        <v>0</v>
      </c>
      <c r="BP4" s="3">
        <f t="shared" ref="BP4:BP15" si="19">BO4+Z4</f>
        <v>0</v>
      </c>
      <c r="BQ4" s="3">
        <f t="shared" ref="BQ4:BQ15" si="20">BP4+AC4</f>
        <v>0</v>
      </c>
      <c r="BR4" s="3">
        <f t="shared" ref="BR4:BR15" si="21">+BQ4+AF4</f>
        <v>0</v>
      </c>
      <c r="BS4" s="3">
        <f t="shared" ref="BS4:BS15" si="22">+BR4+AI4</f>
        <v>0</v>
      </c>
      <c r="BT4" s="3">
        <f t="shared" ref="BT4:BT15" si="23">BS4+AL4</f>
        <v>0</v>
      </c>
      <c r="BU4" s="3">
        <f>F4</f>
        <v>0</v>
      </c>
      <c r="BV4" s="3">
        <f t="shared" ref="BV4:BV15" si="24">BU4+I4</f>
        <v>0</v>
      </c>
      <c r="BW4" s="3">
        <f t="shared" ref="BW4:BW15" si="25">BV4+L4</f>
        <v>0</v>
      </c>
      <c r="BX4" s="3">
        <f t="shared" ref="BX4:BX15" si="26">BW4+O4</f>
        <v>0</v>
      </c>
      <c r="BY4" s="3">
        <f t="shared" ref="BY4:BY15" si="27">BX4+R4</f>
        <v>0</v>
      </c>
      <c r="BZ4" s="3">
        <f t="shared" ref="BZ4:BZ15" si="28">BY4+U4</f>
        <v>0</v>
      </c>
      <c r="CA4" s="3">
        <f t="shared" ref="CA4:CA15" si="29">BZ4+X4</f>
        <v>0</v>
      </c>
      <c r="CB4" s="3">
        <f t="shared" ref="CB4:CB15" si="30">CA4+AA4</f>
        <v>0</v>
      </c>
      <c r="CC4" s="3">
        <f t="shared" ref="CC4:CC15" si="31">CB4+AD4</f>
        <v>0</v>
      </c>
      <c r="CD4" s="3">
        <f t="shared" ref="CD4:CD15" si="32">+CC4+AG4</f>
        <v>0</v>
      </c>
      <c r="CE4" s="3">
        <f t="shared" ref="CE4:CE15" si="33">+CD4+AJ4</f>
        <v>0</v>
      </c>
      <c r="CF4" s="3">
        <f t="shared" ref="CF4:CF15" si="34">CE4+AM4</f>
        <v>0</v>
      </c>
    </row>
    <row r="5" spans="1:84" s="3" customFormat="1" x14ac:dyDescent="0.2">
      <c r="A5" s="70"/>
      <c r="B5" s="64"/>
      <c r="C5" s="70" t="s">
        <v>108</v>
      </c>
      <c r="D5" s="70" t="s">
        <v>3</v>
      </c>
      <c r="E5" s="14"/>
      <c r="F5" s="19"/>
      <c r="G5" s="93">
        <f t="shared" ref="G5:G14" si="35">F5-E5</f>
        <v>0</v>
      </c>
      <c r="H5" s="14"/>
      <c r="I5" s="19"/>
      <c r="J5" s="93">
        <f t="shared" ref="J5:J6" si="36">I5-H5</f>
        <v>0</v>
      </c>
      <c r="K5" s="14"/>
      <c r="L5" s="19"/>
      <c r="M5" s="93">
        <f t="shared" si="0"/>
        <v>0</v>
      </c>
      <c r="N5" s="14"/>
      <c r="O5" s="19"/>
      <c r="P5" s="93">
        <f t="shared" si="1"/>
        <v>0</v>
      </c>
      <c r="Q5" s="14"/>
      <c r="R5" s="19"/>
      <c r="S5" s="93">
        <f t="shared" si="2"/>
        <v>0</v>
      </c>
      <c r="T5" s="14"/>
      <c r="U5" s="19"/>
      <c r="V5" s="93">
        <f t="shared" si="3"/>
        <v>0</v>
      </c>
      <c r="W5" s="14"/>
      <c r="X5" s="19"/>
      <c r="Y5" s="93">
        <f t="shared" si="4"/>
        <v>0</v>
      </c>
      <c r="Z5" s="14"/>
      <c r="AA5" s="19"/>
      <c r="AB5" s="93">
        <f t="shared" si="5"/>
        <v>0</v>
      </c>
      <c r="AC5" s="14"/>
      <c r="AD5" s="19"/>
      <c r="AE5" s="93">
        <f t="shared" si="6"/>
        <v>0</v>
      </c>
      <c r="AF5" s="14"/>
      <c r="AG5" s="19"/>
      <c r="AH5" s="93">
        <f t="shared" si="7"/>
        <v>0</v>
      </c>
      <c r="AI5" s="14"/>
      <c r="AJ5" s="19"/>
      <c r="AK5" s="93">
        <f t="shared" si="8"/>
        <v>0</v>
      </c>
      <c r="AL5" s="14"/>
      <c r="AM5" s="19"/>
      <c r="AN5" s="93">
        <f t="shared" si="9"/>
        <v>0</v>
      </c>
      <c r="AO5" s="94">
        <f t="shared" si="10"/>
        <v>0</v>
      </c>
      <c r="AP5" s="95">
        <f t="shared" si="11"/>
        <v>0</v>
      </c>
      <c r="AQ5" s="96">
        <f t="shared" ref="AQ5:AQ6" si="37">AP5-AO5</f>
        <v>0</v>
      </c>
      <c r="AR5" s="6" t="str">
        <f t="shared" si="12"/>
        <v xml:space="preserve">   SUM AF FRØ</v>
      </c>
      <c r="AT5" s="9"/>
      <c r="AU5" s="37">
        <f>INDEX(AW5:BH5,1,$I$1)</f>
        <v>0</v>
      </c>
      <c r="AV5" s="9">
        <f t="shared" ref="AV5:AV6" si="38">AU5-AT5</f>
        <v>0</v>
      </c>
      <c r="AW5" s="3">
        <f>AL5+AI5+AF5+AC5+Z5+W5+T5+Q5+N5+K5+H5+F5</f>
        <v>0</v>
      </c>
      <c r="AX5" s="3">
        <f>AL5+AI5+AF5+AC5+Z5+W5+T5+Q5+N5+K5+I5+F5</f>
        <v>0</v>
      </c>
      <c r="AY5" s="3">
        <f>AL5+AI5+AF5+AC5+Z5+W5+T5+Q5+N5+L5+I5+F5</f>
        <v>0</v>
      </c>
      <c r="AZ5" s="3">
        <f>AL5+AI5+AF5+AC5+Z5+W5+T5+Q5+O5+L5+I5+F5</f>
        <v>0</v>
      </c>
      <c r="BA5" s="3">
        <f>AL5+AI5+AF5+AC5+Z5+W5+T5+R5+O5+L5+I5+F5</f>
        <v>0</v>
      </c>
      <c r="BB5" s="3">
        <f>AL5+AI5+AF5+AC5+Z5+W5+U5+R5+O5+L5+I5+F5</f>
        <v>0</v>
      </c>
      <c r="BC5" s="3">
        <f>AL5+AI5+AF5+AC5+Z5+X5+U5+R5+O5+L5+I5+F5</f>
        <v>0</v>
      </c>
      <c r="BD5" s="3">
        <f>AL5+AI5+AF5+AC5+AA5+X5+U5+R5+O5+L5+I5+F5</f>
        <v>0</v>
      </c>
      <c r="BE5" s="3">
        <f>AL5+AI5+AF5+AD5+AA5+X5+U5+R5+O5+L5+I5+F5</f>
        <v>0</v>
      </c>
      <c r="BF5" s="3">
        <f>AL5+AI5+AG5+AD5+AA5+X5+U5+R5+O5+L5+I5+F5</f>
        <v>0</v>
      </c>
      <c r="BG5" s="3">
        <f>AL5+AJ5+AG5+AD5+AA5+X5+U5+R5+O5+L5+I5+F5</f>
        <v>0</v>
      </c>
      <c r="BH5" s="3">
        <f>AM5+AJ5+AG5+AD5+AA5+X5+U5+R5+O5+L5+I5+F5</f>
        <v>0</v>
      </c>
      <c r="BI5" s="3">
        <f t="shared" ref="BI5:BI15" si="39">E5</f>
        <v>0</v>
      </c>
      <c r="BJ5" s="3">
        <f t="shared" si="13"/>
        <v>0</v>
      </c>
      <c r="BK5" s="3">
        <f t="shared" si="14"/>
        <v>0</v>
      </c>
      <c r="BL5" s="3">
        <f t="shared" si="15"/>
        <v>0</v>
      </c>
      <c r="BM5" s="3">
        <f t="shared" si="16"/>
        <v>0</v>
      </c>
      <c r="BN5" s="3">
        <f t="shared" si="17"/>
        <v>0</v>
      </c>
      <c r="BO5" s="3">
        <f t="shared" si="18"/>
        <v>0</v>
      </c>
      <c r="BP5" s="3">
        <f t="shared" si="19"/>
        <v>0</v>
      </c>
      <c r="BQ5" s="3">
        <f t="shared" si="20"/>
        <v>0</v>
      </c>
      <c r="BR5" s="3">
        <f t="shared" si="21"/>
        <v>0</v>
      </c>
      <c r="BS5" s="3">
        <f t="shared" si="22"/>
        <v>0</v>
      </c>
      <c r="BT5" s="3">
        <f t="shared" si="23"/>
        <v>0</v>
      </c>
      <c r="BU5" s="3">
        <f t="shared" ref="BU5:BU15" si="40">F5</f>
        <v>0</v>
      </c>
      <c r="BV5" s="3">
        <f t="shared" si="24"/>
        <v>0</v>
      </c>
      <c r="BW5" s="3">
        <f t="shared" si="25"/>
        <v>0</v>
      </c>
      <c r="BX5" s="3">
        <f t="shared" si="26"/>
        <v>0</v>
      </c>
      <c r="BY5" s="3">
        <f t="shared" si="27"/>
        <v>0</v>
      </c>
      <c r="BZ5" s="3">
        <f t="shared" si="28"/>
        <v>0</v>
      </c>
      <c r="CA5" s="3">
        <f t="shared" si="29"/>
        <v>0</v>
      </c>
      <c r="CB5" s="3">
        <f t="shared" si="30"/>
        <v>0</v>
      </c>
      <c r="CC5" s="3">
        <f t="shared" si="31"/>
        <v>0</v>
      </c>
      <c r="CD5" s="3">
        <f t="shared" si="32"/>
        <v>0</v>
      </c>
      <c r="CE5" s="3">
        <f t="shared" si="33"/>
        <v>0</v>
      </c>
      <c r="CF5" s="3">
        <f t="shared" si="34"/>
        <v>0</v>
      </c>
    </row>
    <row r="6" spans="1:84" s="3" customFormat="1" x14ac:dyDescent="0.2">
      <c r="A6" s="70"/>
      <c r="B6" s="64"/>
      <c r="C6" s="70" t="s">
        <v>90</v>
      </c>
      <c r="D6" s="70" t="s">
        <v>3</v>
      </c>
      <c r="E6" s="14"/>
      <c r="F6" s="19"/>
      <c r="G6" s="93">
        <f t="shared" si="35"/>
        <v>0</v>
      </c>
      <c r="H6" s="14"/>
      <c r="I6" s="19"/>
      <c r="J6" s="93">
        <f t="shared" si="36"/>
        <v>0</v>
      </c>
      <c r="K6" s="14"/>
      <c r="L6" s="19"/>
      <c r="M6" s="93">
        <f t="shared" si="0"/>
        <v>0</v>
      </c>
      <c r="N6" s="14"/>
      <c r="O6" s="19"/>
      <c r="P6" s="93">
        <f t="shared" si="1"/>
        <v>0</v>
      </c>
      <c r="Q6" s="14"/>
      <c r="R6" s="19"/>
      <c r="S6" s="93">
        <f t="shared" si="2"/>
        <v>0</v>
      </c>
      <c r="T6" s="14"/>
      <c r="U6" s="19"/>
      <c r="V6" s="93">
        <f t="shared" si="3"/>
        <v>0</v>
      </c>
      <c r="W6" s="14"/>
      <c r="X6" s="19"/>
      <c r="Y6" s="93">
        <f t="shared" si="4"/>
        <v>0</v>
      </c>
      <c r="Z6" s="14"/>
      <c r="AA6" s="19"/>
      <c r="AB6" s="93">
        <f t="shared" si="5"/>
        <v>0</v>
      </c>
      <c r="AC6" s="14"/>
      <c r="AD6" s="19"/>
      <c r="AE6" s="93">
        <f t="shared" si="6"/>
        <v>0</v>
      </c>
      <c r="AF6" s="14"/>
      <c r="AG6" s="19"/>
      <c r="AH6" s="93">
        <f t="shared" si="7"/>
        <v>0</v>
      </c>
      <c r="AI6" s="14"/>
      <c r="AJ6" s="19"/>
      <c r="AK6" s="93">
        <f t="shared" si="8"/>
        <v>0</v>
      </c>
      <c r="AL6" s="14"/>
      <c r="AM6" s="19"/>
      <c r="AN6" s="93">
        <f t="shared" si="9"/>
        <v>0</v>
      </c>
      <c r="AO6" s="94">
        <f t="shared" si="10"/>
        <v>0</v>
      </c>
      <c r="AP6" s="95">
        <f t="shared" si="11"/>
        <v>0</v>
      </c>
      <c r="AQ6" s="96">
        <f t="shared" si="37"/>
        <v>0</v>
      </c>
      <c r="AR6" s="6" t="str">
        <f t="shared" si="12"/>
        <v>VAREFORBRUG</v>
      </c>
      <c r="AT6" s="9"/>
      <c r="AU6" s="37">
        <f>INDEX(AW6:BH6,1,$I$1)</f>
        <v>0</v>
      </c>
      <c r="AV6" s="9">
        <f t="shared" si="38"/>
        <v>0</v>
      </c>
      <c r="AW6" s="3">
        <f>AL6+AI6+AF6+AC6+Z6+W6+T6+Q6+N6+K6+H6+F6</f>
        <v>0</v>
      </c>
      <c r="AX6" s="3">
        <f>AL6+AI6+AF6+AC6+Z6+W6+T6+Q6+N6+K6+I6+F6</f>
        <v>0</v>
      </c>
      <c r="AY6" s="3">
        <f>AL6+AI6+AF6+AC6+Z6+W6+T6+Q6+N6+L6+I6+F6</f>
        <v>0</v>
      </c>
      <c r="AZ6" s="3">
        <f>AL6+AI6+AF6+AC6+Z6+W6+T6+Q6+O6+L6+I6+F6</f>
        <v>0</v>
      </c>
      <c r="BA6" s="3">
        <f>AL6+AI6+AF6+AC6+Z6+W6+T6+R6+O6+L6+I6+F6</f>
        <v>0</v>
      </c>
      <c r="BB6" s="3">
        <f>AL6+AI6+AF6+AC6+Z6+W6+U6+R6+O6+L6+I6+F6</f>
        <v>0</v>
      </c>
      <c r="BC6" s="3">
        <f>AL6+AI6+AF6+AC6+Z6+X6+U6+R6+O6+L6+I6+F6</f>
        <v>0</v>
      </c>
      <c r="BD6" s="3">
        <f>AL6+AI6+AF6+AC6+AA6+X6+U6+R6+O6+L6+I6+F6</f>
        <v>0</v>
      </c>
      <c r="BE6" s="3">
        <f>AL6+AI6+AF6+AD6+AA6+X6+U6+R6+O6+L6+I6+F6</f>
        <v>0</v>
      </c>
      <c r="BF6" s="3">
        <f>AL6+AI6+AG6+AD6+AA6+X6+U6+R6+O6+L6+I6+F6</f>
        <v>0</v>
      </c>
      <c r="BG6" s="3">
        <f>AL6+AJ6+AG6+AD6+AA6+X6+U6+R6+O6+L6+I6+F6</f>
        <v>0</v>
      </c>
      <c r="BH6" s="3">
        <f>AM6+AJ6+AG6+AD6+AA6+X6+U6+R6+O6+L6+I6+F6</f>
        <v>0</v>
      </c>
      <c r="BI6" s="3">
        <f t="shared" si="39"/>
        <v>0</v>
      </c>
      <c r="BJ6" s="3">
        <f t="shared" si="13"/>
        <v>0</v>
      </c>
      <c r="BK6" s="3">
        <f t="shared" si="14"/>
        <v>0</v>
      </c>
      <c r="BL6" s="3">
        <f t="shared" si="15"/>
        <v>0</v>
      </c>
      <c r="BM6" s="3">
        <f t="shared" si="16"/>
        <v>0</v>
      </c>
      <c r="BN6" s="3">
        <f t="shared" si="17"/>
        <v>0</v>
      </c>
      <c r="BO6" s="3">
        <f t="shared" si="18"/>
        <v>0</v>
      </c>
      <c r="BP6" s="3">
        <f t="shared" si="19"/>
        <v>0</v>
      </c>
      <c r="BQ6" s="3">
        <f t="shared" si="20"/>
        <v>0</v>
      </c>
      <c r="BR6" s="3">
        <f t="shared" si="21"/>
        <v>0</v>
      </c>
      <c r="BS6" s="3">
        <f t="shared" si="22"/>
        <v>0</v>
      </c>
      <c r="BT6" s="3">
        <f t="shared" si="23"/>
        <v>0</v>
      </c>
      <c r="BU6" s="3">
        <f t="shared" si="40"/>
        <v>0</v>
      </c>
      <c r="BV6" s="3">
        <f t="shared" si="24"/>
        <v>0</v>
      </c>
      <c r="BW6" s="3">
        <f t="shared" si="25"/>
        <v>0</v>
      </c>
      <c r="BX6" s="3">
        <f t="shared" si="26"/>
        <v>0</v>
      </c>
      <c r="BY6" s="3">
        <f t="shared" si="27"/>
        <v>0</v>
      </c>
      <c r="BZ6" s="3">
        <f t="shared" si="28"/>
        <v>0</v>
      </c>
      <c r="CA6" s="3">
        <f t="shared" si="29"/>
        <v>0</v>
      </c>
      <c r="CB6" s="3">
        <f t="shared" si="30"/>
        <v>0</v>
      </c>
      <c r="CC6" s="3">
        <f t="shared" si="31"/>
        <v>0</v>
      </c>
      <c r="CD6" s="3">
        <f t="shared" si="32"/>
        <v>0</v>
      </c>
      <c r="CE6" s="3">
        <f t="shared" si="33"/>
        <v>0</v>
      </c>
      <c r="CF6" s="3">
        <f t="shared" si="34"/>
        <v>0</v>
      </c>
    </row>
    <row r="7" spans="1:84" s="4" customFormat="1" x14ac:dyDescent="0.2">
      <c r="A7" s="72"/>
      <c r="B7" s="71"/>
      <c r="C7" s="72" t="s">
        <v>91</v>
      </c>
      <c r="D7" s="72"/>
      <c r="E7" s="99">
        <f>SUM(E4:E6)</f>
        <v>0</v>
      </c>
      <c r="F7" s="72">
        <f>SUM(F4:F6)</f>
        <v>0</v>
      </c>
      <c r="G7" s="93">
        <f t="shared" si="35"/>
        <v>0</v>
      </c>
      <c r="H7" s="99">
        <f>SUM(H4:H6)</f>
        <v>0</v>
      </c>
      <c r="I7" s="72">
        <f>SUM(I4:I6)</f>
        <v>0</v>
      </c>
      <c r="J7" s="100">
        <f>I7-H7</f>
        <v>0</v>
      </c>
      <c r="K7" s="99">
        <f>SUM(K4:K6)</f>
        <v>0</v>
      </c>
      <c r="L7" s="72">
        <f>SUM(L4:L6)</f>
        <v>0</v>
      </c>
      <c r="M7" s="100">
        <f t="shared" si="0"/>
        <v>0</v>
      </c>
      <c r="N7" s="99">
        <f>SUM(N4:N6)</f>
        <v>0</v>
      </c>
      <c r="O7" s="72">
        <f>SUM(O4:O6)</f>
        <v>0</v>
      </c>
      <c r="P7" s="100">
        <f t="shared" si="1"/>
        <v>0</v>
      </c>
      <c r="Q7" s="99">
        <f>SUM(Q4:Q6)</f>
        <v>0</v>
      </c>
      <c r="R7" s="72">
        <f>SUM(R4:R6)</f>
        <v>0</v>
      </c>
      <c r="S7" s="100">
        <f t="shared" si="2"/>
        <v>0</v>
      </c>
      <c r="T7" s="99">
        <f>SUM(T4:T6)</f>
        <v>0</v>
      </c>
      <c r="U7" s="72">
        <f>SUM(U4:U6)</f>
        <v>0</v>
      </c>
      <c r="V7" s="100">
        <f t="shared" si="3"/>
        <v>0</v>
      </c>
      <c r="W7" s="99">
        <f>SUM(W4:W6)</f>
        <v>0</v>
      </c>
      <c r="X7" s="72">
        <f>SUM(X4:X6)</f>
        <v>0</v>
      </c>
      <c r="Y7" s="100">
        <f t="shared" si="4"/>
        <v>0</v>
      </c>
      <c r="Z7" s="99">
        <f>SUM(Z4:Z6)</f>
        <v>0</v>
      </c>
      <c r="AA7" s="72">
        <f>SUM(AA4:AA6)</f>
        <v>0</v>
      </c>
      <c r="AB7" s="100">
        <f t="shared" si="5"/>
        <v>0</v>
      </c>
      <c r="AC7" s="99">
        <f>SUM(AC4:AC6)</f>
        <v>0</v>
      </c>
      <c r="AD7" s="72">
        <f>SUM(AD4:AD6)</f>
        <v>0</v>
      </c>
      <c r="AE7" s="100">
        <f t="shared" si="6"/>
        <v>0</v>
      </c>
      <c r="AF7" s="99">
        <f>SUM(AF4:AF6)</f>
        <v>0</v>
      </c>
      <c r="AG7" s="72">
        <f>SUM(AG4:AG6)</f>
        <v>0</v>
      </c>
      <c r="AH7" s="100">
        <f t="shared" si="7"/>
        <v>0</v>
      </c>
      <c r="AI7" s="99">
        <f>SUM(AI4:AI6)</f>
        <v>0</v>
      </c>
      <c r="AJ7" s="72">
        <f>SUM(AJ4:AJ6)</f>
        <v>0</v>
      </c>
      <c r="AK7" s="100">
        <f t="shared" si="8"/>
        <v>0</v>
      </c>
      <c r="AL7" s="99">
        <f>SUM(AL4:AL6)</f>
        <v>0</v>
      </c>
      <c r="AM7" s="72">
        <f>SUM(AM4:AM6)</f>
        <v>0</v>
      </c>
      <c r="AN7" s="100">
        <f t="shared" si="9"/>
        <v>0</v>
      </c>
      <c r="AO7" s="101">
        <f t="shared" si="10"/>
        <v>0</v>
      </c>
      <c r="AP7" s="101">
        <f t="shared" si="11"/>
        <v>0</v>
      </c>
      <c r="AQ7" s="101">
        <f>SUM(AQ4:AQ6)</f>
        <v>0</v>
      </c>
      <c r="AR7" s="26" t="str">
        <f t="shared" si="12"/>
        <v>DÆKNINGSBIDRAG</v>
      </c>
      <c r="AT7" s="36">
        <f>SUM(AT4:AT6)</f>
        <v>0</v>
      </c>
      <c r="AU7" s="35">
        <f>SUM(AU4:AU6)</f>
        <v>0</v>
      </c>
      <c r="AV7" s="36">
        <f>SUM(AV4:AV6)</f>
        <v>0</v>
      </c>
      <c r="AW7" s="4">
        <f>SUM(AW4:AW6)</f>
        <v>0</v>
      </c>
      <c r="AX7" s="4">
        <f>SUM(AX4:AX6)</f>
        <v>0</v>
      </c>
      <c r="AY7" s="4">
        <f t="shared" ref="AY7:BH7" si="41">SUM(AY4:AY6)</f>
        <v>0</v>
      </c>
      <c r="AZ7" s="4">
        <f t="shared" si="41"/>
        <v>0</v>
      </c>
      <c r="BA7" s="4">
        <f t="shared" si="41"/>
        <v>0</v>
      </c>
      <c r="BB7" s="4">
        <f t="shared" si="41"/>
        <v>0</v>
      </c>
      <c r="BC7" s="4">
        <f t="shared" si="41"/>
        <v>0</v>
      </c>
      <c r="BD7" s="4">
        <f t="shared" si="41"/>
        <v>0</v>
      </c>
      <c r="BE7" s="4">
        <f t="shared" si="41"/>
        <v>0</v>
      </c>
      <c r="BF7" s="4">
        <f t="shared" si="41"/>
        <v>0</v>
      </c>
      <c r="BG7" s="4">
        <f t="shared" si="41"/>
        <v>0</v>
      </c>
      <c r="BH7" s="4">
        <f t="shared" si="41"/>
        <v>0</v>
      </c>
      <c r="BI7" s="4">
        <f t="shared" si="39"/>
        <v>0</v>
      </c>
      <c r="BJ7" s="4">
        <f t="shared" si="13"/>
        <v>0</v>
      </c>
      <c r="BK7" s="4">
        <f t="shared" si="14"/>
        <v>0</v>
      </c>
      <c r="BL7" s="4">
        <f t="shared" si="15"/>
        <v>0</v>
      </c>
      <c r="BM7" s="4">
        <f t="shared" si="16"/>
        <v>0</v>
      </c>
      <c r="BN7" s="4">
        <f t="shared" si="17"/>
        <v>0</v>
      </c>
      <c r="BO7" s="4">
        <f t="shared" si="18"/>
        <v>0</v>
      </c>
      <c r="BP7" s="4">
        <f t="shared" si="19"/>
        <v>0</v>
      </c>
      <c r="BQ7" s="4">
        <f t="shared" si="20"/>
        <v>0</v>
      </c>
      <c r="BR7" s="4">
        <f t="shared" si="21"/>
        <v>0</v>
      </c>
      <c r="BS7" s="4">
        <f t="shared" si="22"/>
        <v>0</v>
      </c>
      <c r="BT7" s="4">
        <f t="shared" si="23"/>
        <v>0</v>
      </c>
      <c r="BU7" s="4">
        <f t="shared" si="40"/>
        <v>0</v>
      </c>
      <c r="BV7" s="4">
        <f t="shared" si="24"/>
        <v>0</v>
      </c>
      <c r="BW7" s="4">
        <f t="shared" si="25"/>
        <v>0</v>
      </c>
      <c r="BX7" s="4">
        <f t="shared" si="26"/>
        <v>0</v>
      </c>
      <c r="BY7" s="4">
        <f t="shared" si="27"/>
        <v>0</v>
      </c>
      <c r="BZ7" s="4">
        <f t="shared" si="28"/>
        <v>0</v>
      </c>
      <c r="CA7" s="4">
        <f t="shared" si="29"/>
        <v>0</v>
      </c>
      <c r="CB7" s="4">
        <f t="shared" si="30"/>
        <v>0</v>
      </c>
      <c r="CC7" s="4">
        <f t="shared" si="31"/>
        <v>0</v>
      </c>
      <c r="CD7" s="4">
        <f t="shared" si="32"/>
        <v>0</v>
      </c>
      <c r="CE7" s="4">
        <f t="shared" si="33"/>
        <v>0</v>
      </c>
      <c r="CF7" s="4">
        <f t="shared" si="34"/>
        <v>0</v>
      </c>
    </row>
    <row r="8" spans="1:84" s="3" customFormat="1" x14ac:dyDescent="0.2">
      <c r="A8" s="70"/>
      <c r="B8" s="64"/>
      <c r="C8" s="70" t="s">
        <v>92</v>
      </c>
      <c r="D8" s="70"/>
      <c r="E8" s="14"/>
      <c r="F8" s="19"/>
      <c r="G8" s="93">
        <f t="shared" si="35"/>
        <v>0</v>
      </c>
      <c r="H8" s="14"/>
      <c r="I8" s="19"/>
      <c r="J8" s="93">
        <f t="shared" ref="J8:J14" si="42">I8-H8</f>
        <v>0</v>
      </c>
      <c r="K8" s="14"/>
      <c r="L8" s="19"/>
      <c r="M8" s="93">
        <f t="shared" si="0"/>
        <v>0</v>
      </c>
      <c r="N8" s="14"/>
      <c r="O8" s="19"/>
      <c r="P8" s="93">
        <f t="shared" si="1"/>
        <v>0</v>
      </c>
      <c r="Q8" s="14"/>
      <c r="R8" s="19"/>
      <c r="S8" s="93">
        <f t="shared" si="2"/>
        <v>0</v>
      </c>
      <c r="T8" s="14"/>
      <c r="U8" s="19"/>
      <c r="V8" s="93">
        <f t="shared" si="3"/>
        <v>0</v>
      </c>
      <c r="W8" s="14"/>
      <c r="X8" s="19"/>
      <c r="Y8" s="93">
        <f t="shared" si="4"/>
        <v>0</v>
      </c>
      <c r="Z8" s="14"/>
      <c r="AA8" s="19"/>
      <c r="AB8" s="93">
        <f t="shared" si="5"/>
        <v>0</v>
      </c>
      <c r="AC8" s="14"/>
      <c r="AD8" s="19"/>
      <c r="AE8" s="93">
        <f t="shared" si="6"/>
        <v>0</v>
      </c>
      <c r="AF8" s="14"/>
      <c r="AG8" s="19"/>
      <c r="AH8" s="93">
        <f t="shared" si="7"/>
        <v>0</v>
      </c>
      <c r="AI8" s="14"/>
      <c r="AJ8" s="19"/>
      <c r="AK8" s="93">
        <f t="shared" si="8"/>
        <v>0</v>
      </c>
      <c r="AL8" s="14"/>
      <c r="AM8" s="19"/>
      <c r="AN8" s="93">
        <f t="shared" si="9"/>
        <v>0</v>
      </c>
      <c r="AO8" s="102">
        <f t="shared" si="10"/>
        <v>0</v>
      </c>
      <c r="AP8" s="95">
        <f t="shared" si="11"/>
        <v>0</v>
      </c>
      <c r="AQ8" s="96">
        <f t="shared" ref="AQ8:AQ14" si="43">AP8-AO8</f>
        <v>0</v>
      </c>
      <c r="AR8" s="6" t="str">
        <f t="shared" si="12"/>
        <v>LØNNINGER MV. I ALT</v>
      </c>
      <c r="AT8" s="9"/>
      <c r="AU8" s="37">
        <f t="shared" ref="AU8:AU14" si="44">INDEX(AW8:BH8,1,$I$1)</f>
        <v>0</v>
      </c>
      <c r="AV8" s="9">
        <f t="shared" ref="AV8:AV14" si="45">AU8-AT8</f>
        <v>0</v>
      </c>
      <c r="AW8" s="3">
        <f t="shared" ref="AW8:AW14" si="46">AL8+AI8+AF8+AC8+Z8+W8+T8+Q8+N8+K8+H8+F8</f>
        <v>0</v>
      </c>
      <c r="AX8" s="3">
        <f t="shared" ref="AX8:AX14" si="47">AL8+AI8+AF8+AC8+Z8+W8+T8+Q8+N8+K8+I8+F8</f>
        <v>0</v>
      </c>
      <c r="AY8" s="3">
        <f t="shared" ref="AY8:AY14" si="48">AL8+AI8+AF8+AC8+Z8+W8+T8+Q8+N8+L8+I8+F8</f>
        <v>0</v>
      </c>
      <c r="AZ8" s="3">
        <f t="shared" ref="AZ8:AZ14" si="49">AL8+AI8+AF8+AC8+Z8+W8+T8+Q8+O8+L8+I8+F8</f>
        <v>0</v>
      </c>
      <c r="BA8" s="3">
        <f t="shared" ref="BA8:BA14" si="50">AL8+AI8+AF8+AC8+Z8+W8+T8+R8+O8+L8+I8+F8</f>
        <v>0</v>
      </c>
      <c r="BB8" s="3">
        <f t="shared" ref="BB8:BB14" si="51">AL8+AI8+AF8+AC8+Z8+W8+U8+R8+O8+L8+I8+F8</f>
        <v>0</v>
      </c>
      <c r="BC8" s="3">
        <f t="shared" ref="BC8:BC14" si="52">AL8+AI8+AF8+AC8+Z8+X8+U8+R8+O8+L8+I8+F8</f>
        <v>0</v>
      </c>
      <c r="BD8" s="3">
        <f t="shared" ref="BD8:BD14" si="53">AL8+AI8+AF8+AC8+AA8+X8+U8+R8+O8+L8+I8+F8</f>
        <v>0</v>
      </c>
      <c r="BE8" s="3">
        <f t="shared" ref="BE8:BE14" si="54">AL8+AI8+AF8+AD8+AA8+X8+U8+R8+O8+L8+I8+F8</f>
        <v>0</v>
      </c>
      <c r="BF8" s="3">
        <f t="shared" ref="BF8:BF14" si="55">AL8+AI8+AG8+AD8+AA8+X8+U8+R8+O8+L8+I8+F8</f>
        <v>0</v>
      </c>
      <c r="BG8" s="3">
        <f t="shared" ref="BG8:BG14" si="56">AL8+AJ8+AG8+AD8+AA8+X8+U8+R8+O8+L8+I8+F8</f>
        <v>0</v>
      </c>
      <c r="BH8" s="3">
        <f t="shared" ref="BH8:BH14" si="57">AM8+AJ8+AG8+AD8+AA8+X8+U8+R8+O8+L8+I8+F8</f>
        <v>0</v>
      </c>
      <c r="BI8" s="3">
        <f t="shared" si="39"/>
        <v>0</v>
      </c>
      <c r="BJ8" s="3">
        <f t="shared" si="13"/>
        <v>0</v>
      </c>
      <c r="BK8" s="3">
        <f t="shared" si="14"/>
        <v>0</v>
      </c>
      <c r="BL8" s="3">
        <f t="shared" si="15"/>
        <v>0</v>
      </c>
      <c r="BM8" s="3">
        <f t="shared" si="16"/>
        <v>0</v>
      </c>
      <c r="BN8" s="3">
        <f t="shared" si="17"/>
        <v>0</v>
      </c>
      <c r="BO8" s="3">
        <f t="shared" si="18"/>
        <v>0</v>
      </c>
      <c r="BP8" s="3">
        <f t="shared" si="19"/>
        <v>0</v>
      </c>
      <c r="BQ8" s="3">
        <f t="shared" si="20"/>
        <v>0</v>
      </c>
      <c r="BR8" s="3">
        <f t="shared" si="21"/>
        <v>0</v>
      </c>
      <c r="BS8" s="3">
        <f t="shared" si="22"/>
        <v>0</v>
      </c>
      <c r="BT8" s="3">
        <f t="shared" si="23"/>
        <v>0</v>
      </c>
      <c r="BU8" s="3">
        <f t="shared" si="40"/>
        <v>0</v>
      </c>
      <c r="BV8" s="3">
        <f t="shared" si="24"/>
        <v>0</v>
      </c>
      <c r="BW8" s="3">
        <f t="shared" si="25"/>
        <v>0</v>
      </c>
      <c r="BX8" s="3">
        <f t="shared" si="26"/>
        <v>0</v>
      </c>
      <c r="BY8" s="3">
        <f t="shared" si="27"/>
        <v>0</v>
      </c>
      <c r="BZ8" s="3">
        <f t="shared" si="28"/>
        <v>0</v>
      </c>
      <c r="CA8" s="3">
        <f t="shared" si="29"/>
        <v>0</v>
      </c>
      <c r="CB8" s="3">
        <f t="shared" si="30"/>
        <v>0</v>
      </c>
      <c r="CC8" s="3">
        <f t="shared" si="31"/>
        <v>0</v>
      </c>
      <c r="CD8" s="3">
        <f t="shared" si="32"/>
        <v>0</v>
      </c>
      <c r="CE8" s="3">
        <f t="shared" si="33"/>
        <v>0</v>
      </c>
      <c r="CF8" s="3">
        <f t="shared" si="34"/>
        <v>0</v>
      </c>
    </row>
    <row r="9" spans="1:84" s="3" customFormat="1" x14ac:dyDescent="0.2">
      <c r="A9" s="70"/>
      <c r="B9" s="64"/>
      <c r="C9" s="70" t="s">
        <v>93</v>
      </c>
      <c r="D9" s="70" t="s">
        <v>3</v>
      </c>
      <c r="E9" s="14"/>
      <c r="F9" s="19"/>
      <c r="G9" s="93">
        <f t="shared" si="35"/>
        <v>0</v>
      </c>
      <c r="H9" s="14"/>
      <c r="I9" s="19"/>
      <c r="J9" s="93">
        <f t="shared" si="42"/>
        <v>0</v>
      </c>
      <c r="K9" s="14"/>
      <c r="L9" s="19"/>
      <c r="M9" s="93">
        <f t="shared" si="0"/>
        <v>0</v>
      </c>
      <c r="N9" s="14"/>
      <c r="O9" s="19"/>
      <c r="P9" s="93">
        <f t="shared" si="1"/>
        <v>0</v>
      </c>
      <c r="Q9" s="14"/>
      <c r="R9" s="19"/>
      <c r="S9" s="93">
        <f t="shared" si="2"/>
        <v>0</v>
      </c>
      <c r="T9" s="14"/>
      <c r="U9" s="19"/>
      <c r="V9" s="93">
        <f t="shared" si="3"/>
        <v>0</v>
      </c>
      <c r="W9" s="14"/>
      <c r="X9" s="19"/>
      <c r="Y9" s="93">
        <f t="shared" si="4"/>
        <v>0</v>
      </c>
      <c r="Z9" s="14"/>
      <c r="AA9" s="19"/>
      <c r="AB9" s="93">
        <f t="shared" si="5"/>
        <v>0</v>
      </c>
      <c r="AC9" s="14"/>
      <c r="AD9" s="19"/>
      <c r="AE9" s="93">
        <f t="shared" si="6"/>
        <v>0</v>
      </c>
      <c r="AF9" s="14"/>
      <c r="AG9" s="19"/>
      <c r="AH9" s="93">
        <f t="shared" si="7"/>
        <v>0</v>
      </c>
      <c r="AI9" s="14"/>
      <c r="AJ9" s="19"/>
      <c r="AK9" s="93">
        <f t="shared" si="8"/>
        <v>0</v>
      </c>
      <c r="AL9" s="14"/>
      <c r="AM9" s="19"/>
      <c r="AN9" s="93">
        <f t="shared" si="9"/>
        <v>0</v>
      </c>
      <c r="AO9" s="102">
        <f t="shared" si="10"/>
        <v>0</v>
      </c>
      <c r="AP9" s="95">
        <f t="shared" si="11"/>
        <v>0</v>
      </c>
      <c r="AQ9" s="96">
        <f t="shared" si="43"/>
        <v>0</v>
      </c>
      <c r="AR9" s="6" t="str">
        <f t="shared" si="12"/>
        <v>SALGSOMKOSTNINGER</v>
      </c>
      <c r="AT9" s="9"/>
      <c r="AU9" s="37">
        <f t="shared" si="44"/>
        <v>0</v>
      </c>
      <c r="AV9" s="9">
        <f t="shared" si="45"/>
        <v>0</v>
      </c>
      <c r="AW9" s="3">
        <f t="shared" si="46"/>
        <v>0</v>
      </c>
      <c r="AX9" s="3">
        <f t="shared" si="47"/>
        <v>0</v>
      </c>
      <c r="AY9" s="3">
        <f t="shared" si="48"/>
        <v>0</v>
      </c>
      <c r="AZ9" s="3">
        <f t="shared" si="49"/>
        <v>0</v>
      </c>
      <c r="BA9" s="3">
        <f t="shared" si="50"/>
        <v>0</v>
      </c>
      <c r="BB9" s="3">
        <f t="shared" si="51"/>
        <v>0</v>
      </c>
      <c r="BC9" s="3">
        <f t="shared" si="52"/>
        <v>0</v>
      </c>
      <c r="BD9" s="3">
        <f t="shared" si="53"/>
        <v>0</v>
      </c>
      <c r="BE9" s="3">
        <f t="shared" si="54"/>
        <v>0</v>
      </c>
      <c r="BF9" s="3">
        <f t="shared" si="55"/>
        <v>0</v>
      </c>
      <c r="BG9" s="3">
        <f t="shared" si="56"/>
        <v>0</v>
      </c>
      <c r="BH9" s="3">
        <f t="shared" si="57"/>
        <v>0</v>
      </c>
      <c r="BI9" s="3">
        <f t="shared" si="39"/>
        <v>0</v>
      </c>
      <c r="BJ9" s="3">
        <f t="shared" si="13"/>
        <v>0</v>
      </c>
      <c r="BK9" s="3">
        <f t="shared" si="14"/>
        <v>0</v>
      </c>
      <c r="BL9" s="3">
        <f t="shared" si="15"/>
        <v>0</v>
      </c>
      <c r="BM9" s="3">
        <f t="shared" si="16"/>
        <v>0</v>
      </c>
      <c r="BN9" s="3">
        <f t="shared" si="17"/>
        <v>0</v>
      </c>
      <c r="BO9" s="3">
        <f t="shared" si="18"/>
        <v>0</v>
      </c>
      <c r="BP9" s="3">
        <f t="shared" si="19"/>
        <v>0</v>
      </c>
      <c r="BQ9" s="3">
        <f t="shared" si="20"/>
        <v>0</v>
      </c>
      <c r="BR9" s="3">
        <f t="shared" si="21"/>
        <v>0</v>
      </c>
      <c r="BS9" s="3">
        <f t="shared" si="22"/>
        <v>0</v>
      </c>
      <c r="BT9" s="3">
        <f t="shared" si="23"/>
        <v>0</v>
      </c>
      <c r="BU9" s="3">
        <f t="shared" si="40"/>
        <v>0</v>
      </c>
      <c r="BV9" s="3">
        <f t="shared" si="24"/>
        <v>0</v>
      </c>
      <c r="BW9" s="3">
        <f t="shared" si="25"/>
        <v>0</v>
      </c>
      <c r="BX9" s="3">
        <f t="shared" si="26"/>
        <v>0</v>
      </c>
      <c r="BY9" s="3">
        <f t="shared" si="27"/>
        <v>0</v>
      </c>
      <c r="BZ9" s="3">
        <f t="shared" si="28"/>
        <v>0</v>
      </c>
      <c r="CA9" s="3">
        <f t="shared" si="29"/>
        <v>0</v>
      </c>
      <c r="CB9" s="3">
        <f t="shared" si="30"/>
        <v>0</v>
      </c>
      <c r="CC9" s="3">
        <f t="shared" si="31"/>
        <v>0</v>
      </c>
      <c r="CD9" s="3">
        <f t="shared" si="32"/>
        <v>0</v>
      </c>
      <c r="CE9" s="3">
        <f t="shared" si="33"/>
        <v>0</v>
      </c>
      <c r="CF9" s="3">
        <f t="shared" si="34"/>
        <v>0</v>
      </c>
    </row>
    <row r="10" spans="1:84" s="3" customFormat="1" x14ac:dyDescent="0.2">
      <c r="A10" s="70"/>
      <c r="B10" s="64"/>
      <c r="C10" s="70" t="s">
        <v>94</v>
      </c>
      <c r="D10" s="70" t="s">
        <v>3</v>
      </c>
      <c r="E10" s="14"/>
      <c r="F10" s="19"/>
      <c r="G10" s="93">
        <f t="shared" si="35"/>
        <v>0</v>
      </c>
      <c r="H10" s="14"/>
      <c r="I10" s="19"/>
      <c r="J10" s="93">
        <f t="shared" si="42"/>
        <v>0</v>
      </c>
      <c r="K10" s="14"/>
      <c r="L10" s="19"/>
      <c r="M10" s="93">
        <f t="shared" si="0"/>
        <v>0</v>
      </c>
      <c r="N10" s="14"/>
      <c r="O10" s="19"/>
      <c r="P10" s="93">
        <f t="shared" si="1"/>
        <v>0</v>
      </c>
      <c r="Q10" s="14"/>
      <c r="R10" s="19"/>
      <c r="S10" s="93">
        <f t="shared" si="2"/>
        <v>0</v>
      </c>
      <c r="T10" s="14"/>
      <c r="U10" s="19"/>
      <c r="V10" s="93">
        <f t="shared" si="3"/>
        <v>0</v>
      </c>
      <c r="W10" s="14"/>
      <c r="X10" s="19"/>
      <c r="Y10" s="93">
        <f t="shared" si="4"/>
        <v>0</v>
      </c>
      <c r="Z10" s="14"/>
      <c r="AA10" s="19"/>
      <c r="AB10" s="93">
        <f t="shared" si="5"/>
        <v>0</v>
      </c>
      <c r="AC10" s="14"/>
      <c r="AD10" s="19"/>
      <c r="AE10" s="93">
        <f t="shared" si="6"/>
        <v>0</v>
      </c>
      <c r="AF10" s="14"/>
      <c r="AG10" s="19"/>
      <c r="AH10" s="93">
        <f t="shared" si="7"/>
        <v>0</v>
      </c>
      <c r="AI10" s="14"/>
      <c r="AJ10" s="19"/>
      <c r="AK10" s="93">
        <f t="shared" si="8"/>
        <v>0</v>
      </c>
      <c r="AL10" s="14"/>
      <c r="AM10" s="19"/>
      <c r="AN10" s="93">
        <f t="shared" si="9"/>
        <v>0</v>
      </c>
      <c r="AO10" s="102">
        <f t="shared" si="10"/>
        <v>0</v>
      </c>
      <c r="AP10" s="95">
        <f t="shared" si="11"/>
        <v>0</v>
      </c>
      <c r="AQ10" s="96">
        <f t="shared" si="43"/>
        <v>0</v>
      </c>
      <c r="AR10" s="6" t="str">
        <f t="shared" si="12"/>
        <v>LOKALEOMKOSTNINGER</v>
      </c>
      <c r="AT10" s="9"/>
      <c r="AU10" s="37">
        <f t="shared" si="44"/>
        <v>0</v>
      </c>
      <c r="AV10" s="9">
        <f t="shared" si="45"/>
        <v>0</v>
      </c>
      <c r="AW10" s="3">
        <f t="shared" si="46"/>
        <v>0</v>
      </c>
      <c r="AX10" s="3">
        <f t="shared" si="47"/>
        <v>0</v>
      </c>
      <c r="AY10" s="3">
        <f t="shared" si="48"/>
        <v>0</v>
      </c>
      <c r="AZ10" s="3">
        <f t="shared" si="49"/>
        <v>0</v>
      </c>
      <c r="BA10" s="3">
        <f t="shared" si="50"/>
        <v>0</v>
      </c>
      <c r="BB10" s="3">
        <f t="shared" si="51"/>
        <v>0</v>
      </c>
      <c r="BC10" s="3">
        <f t="shared" si="52"/>
        <v>0</v>
      </c>
      <c r="BD10" s="3">
        <f t="shared" si="53"/>
        <v>0</v>
      </c>
      <c r="BE10" s="3">
        <f t="shared" si="54"/>
        <v>0</v>
      </c>
      <c r="BF10" s="3">
        <f t="shared" si="55"/>
        <v>0</v>
      </c>
      <c r="BG10" s="3">
        <f t="shared" si="56"/>
        <v>0</v>
      </c>
      <c r="BH10" s="3">
        <f t="shared" si="57"/>
        <v>0</v>
      </c>
      <c r="BI10" s="3">
        <f t="shared" si="39"/>
        <v>0</v>
      </c>
      <c r="BJ10" s="3">
        <f t="shared" si="13"/>
        <v>0</v>
      </c>
      <c r="BK10" s="3">
        <f t="shared" si="14"/>
        <v>0</v>
      </c>
      <c r="BL10" s="3">
        <f t="shared" si="15"/>
        <v>0</v>
      </c>
      <c r="BM10" s="3">
        <f t="shared" si="16"/>
        <v>0</v>
      </c>
      <c r="BN10" s="3">
        <f t="shared" si="17"/>
        <v>0</v>
      </c>
      <c r="BO10" s="3">
        <f t="shared" si="18"/>
        <v>0</v>
      </c>
      <c r="BP10" s="3">
        <f t="shared" si="19"/>
        <v>0</v>
      </c>
      <c r="BQ10" s="3">
        <f t="shared" si="20"/>
        <v>0</v>
      </c>
      <c r="BR10" s="3">
        <f t="shared" si="21"/>
        <v>0</v>
      </c>
      <c r="BS10" s="3">
        <f t="shared" si="22"/>
        <v>0</v>
      </c>
      <c r="BT10" s="3">
        <f t="shared" si="23"/>
        <v>0</v>
      </c>
      <c r="BU10" s="3">
        <f t="shared" si="40"/>
        <v>0</v>
      </c>
      <c r="BV10" s="3">
        <f t="shared" si="24"/>
        <v>0</v>
      </c>
      <c r="BW10" s="3">
        <f t="shared" si="25"/>
        <v>0</v>
      </c>
      <c r="BX10" s="3">
        <f t="shared" si="26"/>
        <v>0</v>
      </c>
      <c r="BY10" s="3">
        <f t="shared" si="27"/>
        <v>0</v>
      </c>
      <c r="BZ10" s="3">
        <f t="shared" si="28"/>
        <v>0</v>
      </c>
      <c r="CA10" s="3">
        <f t="shared" si="29"/>
        <v>0</v>
      </c>
      <c r="CB10" s="3">
        <f t="shared" si="30"/>
        <v>0</v>
      </c>
      <c r="CC10" s="3">
        <f t="shared" si="31"/>
        <v>0</v>
      </c>
      <c r="CD10" s="3">
        <f t="shared" si="32"/>
        <v>0</v>
      </c>
      <c r="CE10" s="3">
        <f t="shared" si="33"/>
        <v>0</v>
      </c>
      <c r="CF10" s="3">
        <f t="shared" si="34"/>
        <v>0</v>
      </c>
    </row>
    <row r="11" spans="1:84" s="3" customFormat="1" x14ac:dyDescent="0.2">
      <c r="A11" s="70"/>
      <c r="B11" s="64"/>
      <c r="C11" s="70" t="s">
        <v>95</v>
      </c>
      <c r="D11" s="70" t="s">
        <v>3</v>
      </c>
      <c r="E11" s="14"/>
      <c r="F11" s="19"/>
      <c r="G11" s="93">
        <f t="shared" si="35"/>
        <v>0</v>
      </c>
      <c r="H11" s="14"/>
      <c r="I11" s="19"/>
      <c r="J11" s="93">
        <f t="shared" si="42"/>
        <v>0</v>
      </c>
      <c r="K11" s="14"/>
      <c r="L11" s="19"/>
      <c r="M11" s="93">
        <f t="shared" si="0"/>
        <v>0</v>
      </c>
      <c r="N11" s="14"/>
      <c r="O11" s="19"/>
      <c r="P11" s="93">
        <f t="shared" si="1"/>
        <v>0</v>
      </c>
      <c r="Q11" s="14"/>
      <c r="R11" s="19"/>
      <c r="S11" s="93">
        <f t="shared" si="2"/>
        <v>0</v>
      </c>
      <c r="T11" s="14"/>
      <c r="U11" s="19"/>
      <c r="V11" s="93">
        <f t="shared" si="3"/>
        <v>0</v>
      </c>
      <c r="W11" s="14"/>
      <c r="X11" s="19"/>
      <c r="Y11" s="93">
        <f t="shared" si="4"/>
        <v>0</v>
      </c>
      <c r="Z11" s="14"/>
      <c r="AA11" s="19"/>
      <c r="AB11" s="93">
        <f t="shared" si="5"/>
        <v>0</v>
      </c>
      <c r="AC11" s="14"/>
      <c r="AD11" s="19"/>
      <c r="AE11" s="93">
        <f t="shared" si="6"/>
        <v>0</v>
      </c>
      <c r="AF11" s="14"/>
      <c r="AG11" s="19"/>
      <c r="AH11" s="93">
        <f t="shared" si="7"/>
        <v>0</v>
      </c>
      <c r="AI11" s="14"/>
      <c r="AJ11" s="19"/>
      <c r="AK11" s="93">
        <f t="shared" si="8"/>
        <v>0</v>
      </c>
      <c r="AL11" s="14"/>
      <c r="AM11" s="19"/>
      <c r="AN11" s="93">
        <f t="shared" si="9"/>
        <v>0</v>
      </c>
      <c r="AO11" s="102">
        <f t="shared" si="10"/>
        <v>0</v>
      </c>
      <c r="AP11" s="95">
        <f t="shared" si="11"/>
        <v>0</v>
      </c>
      <c r="AQ11" s="96">
        <f t="shared" si="43"/>
        <v>0</v>
      </c>
      <c r="AR11" s="6" t="str">
        <f t="shared" si="12"/>
        <v>TRANSPORTOMKOSTNINGER</v>
      </c>
      <c r="AT11" s="9"/>
      <c r="AU11" s="37">
        <f t="shared" si="44"/>
        <v>0</v>
      </c>
      <c r="AV11" s="9">
        <f t="shared" si="45"/>
        <v>0</v>
      </c>
      <c r="AW11" s="3">
        <f t="shared" si="46"/>
        <v>0</v>
      </c>
      <c r="AX11" s="3">
        <f t="shared" si="47"/>
        <v>0</v>
      </c>
      <c r="AY11" s="3">
        <f t="shared" si="48"/>
        <v>0</v>
      </c>
      <c r="AZ11" s="3">
        <f t="shared" si="49"/>
        <v>0</v>
      </c>
      <c r="BA11" s="3">
        <f t="shared" si="50"/>
        <v>0</v>
      </c>
      <c r="BB11" s="3">
        <f t="shared" si="51"/>
        <v>0</v>
      </c>
      <c r="BC11" s="3">
        <f t="shared" si="52"/>
        <v>0</v>
      </c>
      <c r="BD11" s="3">
        <f t="shared" si="53"/>
        <v>0</v>
      </c>
      <c r="BE11" s="3">
        <f t="shared" si="54"/>
        <v>0</v>
      </c>
      <c r="BF11" s="3">
        <f t="shared" si="55"/>
        <v>0</v>
      </c>
      <c r="BG11" s="3">
        <f t="shared" si="56"/>
        <v>0</v>
      </c>
      <c r="BH11" s="3">
        <f t="shared" si="57"/>
        <v>0</v>
      </c>
      <c r="BI11" s="3">
        <f t="shared" si="39"/>
        <v>0</v>
      </c>
      <c r="BJ11" s="3">
        <f t="shared" si="13"/>
        <v>0</v>
      </c>
      <c r="BK11" s="3">
        <f t="shared" si="14"/>
        <v>0</v>
      </c>
      <c r="BL11" s="3">
        <f t="shared" si="15"/>
        <v>0</v>
      </c>
      <c r="BM11" s="3">
        <f t="shared" si="16"/>
        <v>0</v>
      </c>
      <c r="BN11" s="3">
        <f t="shared" si="17"/>
        <v>0</v>
      </c>
      <c r="BO11" s="3">
        <f t="shared" si="18"/>
        <v>0</v>
      </c>
      <c r="BP11" s="3">
        <f t="shared" si="19"/>
        <v>0</v>
      </c>
      <c r="BQ11" s="3">
        <f t="shared" si="20"/>
        <v>0</v>
      </c>
      <c r="BR11" s="3">
        <f t="shared" si="21"/>
        <v>0</v>
      </c>
      <c r="BS11" s="3">
        <f t="shared" si="22"/>
        <v>0</v>
      </c>
      <c r="BT11" s="3">
        <f t="shared" si="23"/>
        <v>0</v>
      </c>
      <c r="BU11" s="3">
        <f t="shared" si="40"/>
        <v>0</v>
      </c>
      <c r="BV11" s="3">
        <f t="shared" si="24"/>
        <v>0</v>
      </c>
      <c r="BW11" s="3">
        <f t="shared" si="25"/>
        <v>0</v>
      </c>
      <c r="BX11" s="3">
        <f t="shared" si="26"/>
        <v>0</v>
      </c>
      <c r="BY11" s="3">
        <f t="shared" si="27"/>
        <v>0</v>
      </c>
      <c r="BZ11" s="3">
        <f t="shared" si="28"/>
        <v>0</v>
      </c>
      <c r="CA11" s="3">
        <f t="shared" si="29"/>
        <v>0</v>
      </c>
      <c r="CB11" s="3">
        <f t="shared" si="30"/>
        <v>0</v>
      </c>
      <c r="CC11" s="3">
        <f t="shared" si="31"/>
        <v>0</v>
      </c>
      <c r="CD11" s="3">
        <f t="shared" si="32"/>
        <v>0</v>
      </c>
      <c r="CE11" s="3">
        <f t="shared" si="33"/>
        <v>0</v>
      </c>
      <c r="CF11" s="3">
        <f t="shared" si="34"/>
        <v>0</v>
      </c>
    </row>
    <row r="12" spans="1:84" s="3" customFormat="1" x14ac:dyDescent="0.2">
      <c r="A12" s="70"/>
      <c r="B12" s="64"/>
      <c r="C12" s="70" t="s">
        <v>96</v>
      </c>
      <c r="D12" s="70" t="s">
        <v>3</v>
      </c>
      <c r="E12" s="14"/>
      <c r="F12" s="19"/>
      <c r="G12" s="93">
        <f t="shared" si="35"/>
        <v>0</v>
      </c>
      <c r="H12" s="14"/>
      <c r="I12" s="19"/>
      <c r="J12" s="93">
        <f t="shared" si="42"/>
        <v>0</v>
      </c>
      <c r="K12" s="14"/>
      <c r="L12" s="19"/>
      <c r="M12" s="93">
        <f t="shared" si="0"/>
        <v>0</v>
      </c>
      <c r="N12" s="14"/>
      <c r="O12" s="19"/>
      <c r="P12" s="93">
        <f t="shared" si="1"/>
        <v>0</v>
      </c>
      <c r="Q12" s="14"/>
      <c r="R12" s="19"/>
      <c r="S12" s="93">
        <f t="shared" si="2"/>
        <v>0</v>
      </c>
      <c r="T12" s="14"/>
      <c r="U12" s="19"/>
      <c r="V12" s="93">
        <f t="shared" si="3"/>
        <v>0</v>
      </c>
      <c r="W12" s="14"/>
      <c r="X12" s="19"/>
      <c r="Y12" s="93">
        <f t="shared" si="4"/>
        <v>0</v>
      </c>
      <c r="Z12" s="14"/>
      <c r="AA12" s="19"/>
      <c r="AB12" s="93">
        <f t="shared" si="5"/>
        <v>0</v>
      </c>
      <c r="AC12" s="14"/>
      <c r="AD12" s="19"/>
      <c r="AE12" s="93">
        <f t="shared" si="6"/>
        <v>0</v>
      </c>
      <c r="AF12" s="14"/>
      <c r="AG12" s="19"/>
      <c r="AH12" s="93">
        <f t="shared" si="7"/>
        <v>0</v>
      </c>
      <c r="AI12" s="14"/>
      <c r="AJ12" s="19"/>
      <c r="AK12" s="93">
        <f t="shared" si="8"/>
        <v>0</v>
      </c>
      <c r="AL12" s="14"/>
      <c r="AM12" s="19"/>
      <c r="AN12" s="93">
        <f t="shared" si="9"/>
        <v>0</v>
      </c>
      <c r="AO12" s="102">
        <f t="shared" si="10"/>
        <v>0</v>
      </c>
      <c r="AP12" s="95">
        <f t="shared" si="11"/>
        <v>0</v>
      </c>
      <c r="AQ12" s="96">
        <f t="shared" si="43"/>
        <v>0</v>
      </c>
      <c r="AR12" s="6" t="str">
        <f t="shared" si="12"/>
        <v>ADMINISTRATION</v>
      </c>
      <c r="AT12" s="9"/>
      <c r="AU12" s="37">
        <f t="shared" si="44"/>
        <v>0</v>
      </c>
      <c r="AV12" s="9">
        <f t="shared" si="45"/>
        <v>0</v>
      </c>
      <c r="AW12" s="3">
        <f t="shared" si="46"/>
        <v>0</v>
      </c>
      <c r="AX12" s="3">
        <f t="shared" si="47"/>
        <v>0</v>
      </c>
      <c r="AY12" s="3">
        <f t="shared" si="48"/>
        <v>0</v>
      </c>
      <c r="AZ12" s="3">
        <f t="shared" si="49"/>
        <v>0</v>
      </c>
      <c r="BA12" s="3">
        <f t="shared" si="50"/>
        <v>0</v>
      </c>
      <c r="BB12" s="3">
        <f t="shared" si="51"/>
        <v>0</v>
      </c>
      <c r="BC12" s="3">
        <f t="shared" si="52"/>
        <v>0</v>
      </c>
      <c r="BD12" s="3">
        <f t="shared" si="53"/>
        <v>0</v>
      </c>
      <c r="BE12" s="3">
        <f t="shared" si="54"/>
        <v>0</v>
      </c>
      <c r="BF12" s="3">
        <f t="shared" si="55"/>
        <v>0</v>
      </c>
      <c r="BG12" s="3">
        <f t="shared" si="56"/>
        <v>0</v>
      </c>
      <c r="BH12" s="3">
        <f t="shared" si="57"/>
        <v>0</v>
      </c>
      <c r="BI12" s="3">
        <f t="shared" si="39"/>
        <v>0</v>
      </c>
      <c r="BJ12" s="3">
        <f t="shared" si="13"/>
        <v>0</v>
      </c>
      <c r="BK12" s="3">
        <f t="shared" si="14"/>
        <v>0</v>
      </c>
      <c r="BL12" s="3">
        <f t="shared" si="15"/>
        <v>0</v>
      </c>
      <c r="BM12" s="3">
        <f t="shared" si="16"/>
        <v>0</v>
      </c>
      <c r="BN12" s="3">
        <f t="shared" si="17"/>
        <v>0</v>
      </c>
      <c r="BO12" s="3">
        <f t="shared" si="18"/>
        <v>0</v>
      </c>
      <c r="BP12" s="3">
        <f t="shared" si="19"/>
        <v>0</v>
      </c>
      <c r="BQ12" s="3">
        <f t="shared" si="20"/>
        <v>0</v>
      </c>
      <c r="BR12" s="3">
        <f t="shared" si="21"/>
        <v>0</v>
      </c>
      <c r="BS12" s="3">
        <f t="shared" si="22"/>
        <v>0</v>
      </c>
      <c r="BT12" s="3">
        <f t="shared" si="23"/>
        <v>0</v>
      </c>
      <c r="BU12" s="3">
        <f t="shared" si="40"/>
        <v>0</v>
      </c>
      <c r="BV12" s="3">
        <f t="shared" si="24"/>
        <v>0</v>
      </c>
      <c r="BW12" s="3">
        <f t="shared" si="25"/>
        <v>0</v>
      </c>
      <c r="BX12" s="3">
        <f t="shared" si="26"/>
        <v>0</v>
      </c>
      <c r="BY12" s="3">
        <f t="shared" si="27"/>
        <v>0</v>
      </c>
      <c r="BZ12" s="3">
        <f t="shared" si="28"/>
        <v>0</v>
      </c>
      <c r="CA12" s="3">
        <f t="shared" si="29"/>
        <v>0</v>
      </c>
      <c r="CB12" s="3">
        <f t="shared" si="30"/>
        <v>0</v>
      </c>
      <c r="CC12" s="3">
        <f t="shared" si="31"/>
        <v>0</v>
      </c>
      <c r="CD12" s="3">
        <f t="shared" si="32"/>
        <v>0</v>
      </c>
      <c r="CE12" s="3">
        <f t="shared" si="33"/>
        <v>0</v>
      </c>
      <c r="CF12" s="3">
        <f t="shared" si="34"/>
        <v>0</v>
      </c>
    </row>
    <row r="13" spans="1:84" s="3" customFormat="1" x14ac:dyDescent="0.2">
      <c r="A13" s="70"/>
      <c r="B13" s="64"/>
      <c r="C13" s="70" t="s">
        <v>97</v>
      </c>
      <c r="D13" s="70" t="s">
        <v>3</v>
      </c>
      <c r="E13" s="14"/>
      <c r="F13" s="19"/>
      <c r="G13" s="93">
        <f t="shared" si="35"/>
        <v>0</v>
      </c>
      <c r="H13" s="14"/>
      <c r="I13" s="19"/>
      <c r="J13" s="93">
        <f t="shared" si="42"/>
        <v>0</v>
      </c>
      <c r="K13" s="14"/>
      <c r="L13" s="19"/>
      <c r="M13" s="93">
        <f t="shared" si="0"/>
        <v>0</v>
      </c>
      <c r="N13" s="14"/>
      <c r="O13" s="19"/>
      <c r="P13" s="93">
        <f t="shared" si="1"/>
        <v>0</v>
      </c>
      <c r="Q13" s="14"/>
      <c r="R13" s="19"/>
      <c r="S13" s="93">
        <f t="shared" si="2"/>
        <v>0</v>
      </c>
      <c r="T13" s="14"/>
      <c r="U13" s="19"/>
      <c r="V13" s="93">
        <f t="shared" si="3"/>
        <v>0</v>
      </c>
      <c r="W13" s="14"/>
      <c r="X13" s="19"/>
      <c r="Y13" s="93">
        <f t="shared" si="4"/>
        <v>0</v>
      </c>
      <c r="Z13" s="14"/>
      <c r="AA13" s="19"/>
      <c r="AB13" s="93">
        <f t="shared" si="5"/>
        <v>0</v>
      </c>
      <c r="AC13" s="14"/>
      <c r="AD13" s="19"/>
      <c r="AE13" s="93">
        <f t="shared" si="6"/>
        <v>0</v>
      </c>
      <c r="AF13" s="14"/>
      <c r="AG13" s="19"/>
      <c r="AH13" s="93">
        <f t="shared" si="7"/>
        <v>0</v>
      </c>
      <c r="AI13" s="14"/>
      <c r="AJ13" s="19"/>
      <c r="AK13" s="93">
        <f t="shared" si="8"/>
        <v>0</v>
      </c>
      <c r="AL13" s="14"/>
      <c r="AM13" s="19"/>
      <c r="AN13" s="93">
        <f t="shared" si="9"/>
        <v>0</v>
      </c>
      <c r="AO13" s="102">
        <f t="shared" si="10"/>
        <v>0</v>
      </c>
      <c r="AP13" s="95">
        <f t="shared" si="11"/>
        <v>0</v>
      </c>
      <c r="AQ13" s="96">
        <f t="shared" si="43"/>
        <v>0</v>
      </c>
      <c r="AR13" s="6" t="str">
        <f t="shared" si="12"/>
        <v>AFSKRIVNINGER (Småanskaffelser)</v>
      </c>
      <c r="AT13" s="9"/>
      <c r="AU13" s="37">
        <f t="shared" si="44"/>
        <v>0</v>
      </c>
      <c r="AV13" s="9">
        <f t="shared" si="45"/>
        <v>0</v>
      </c>
      <c r="AW13" s="3">
        <f t="shared" si="46"/>
        <v>0</v>
      </c>
      <c r="AX13" s="3">
        <f t="shared" si="47"/>
        <v>0</v>
      </c>
      <c r="AY13" s="3">
        <f t="shared" si="48"/>
        <v>0</v>
      </c>
      <c r="AZ13" s="3">
        <f t="shared" si="49"/>
        <v>0</v>
      </c>
      <c r="BA13" s="3">
        <f t="shared" si="50"/>
        <v>0</v>
      </c>
      <c r="BB13" s="3">
        <f t="shared" si="51"/>
        <v>0</v>
      </c>
      <c r="BC13" s="3">
        <f t="shared" si="52"/>
        <v>0</v>
      </c>
      <c r="BD13" s="3">
        <f t="shared" si="53"/>
        <v>0</v>
      </c>
      <c r="BE13" s="3">
        <f t="shared" si="54"/>
        <v>0</v>
      </c>
      <c r="BF13" s="3">
        <f t="shared" si="55"/>
        <v>0</v>
      </c>
      <c r="BG13" s="3">
        <f t="shared" si="56"/>
        <v>0</v>
      </c>
      <c r="BH13" s="3">
        <f t="shared" si="57"/>
        <v>0</v>
      </c>
      <c r="BI13" s="3">
        <f t="shared" si="39"/>
        <v>0</v>
      </c>
      <c r="BJ13" s="3">
        <f t="shared" si="13"/>
        <v>0</v>
      </c>
      <c r="BK13" s="3">
        <f t="shared" si="14"/>
        <v>0</v>
      </c>
      <c r="BL13" s="3">
        <f t="shared" si="15"/>
        <v>0</v>
      </c>
      <c r="BM13" s="3">
        <f t="shared" si="16"/>
        <v>0</v>
      </c>
      <c r="BN13" s="3">
        <f t="shared" si="17"/>
        <v>0</v>
      </c>
      <c r="BO13" s="3">
        <f t="shared" si="18"/>
        <v>0</v>
      </c>
      <c r="BP13" s="3">
        <f t="shared" si="19"/>
        <v>0</v>
      </c>
      <c r="BQ13" s="3">
        <f t="shared" si="20"/>
        <v>0</v>
      </c>
      <c r="BR13" s="3">
        <f t="shared" si="21"/>
        <v>0</v>
      </c>
      <c r="BS13" s="3">
        <f t="shared" si="22"/>
        <v>0</v>
      </c>
      <c r="BT13" s="3">
        <f t="shared" si="23"/>
        <v>0</v>
      </c>
      <c r="BU13" s="3">
        <f t="shared" si="40"/>
        <v>0</v>
      </c>
      <c r="BV13" s="3">
        <f t="shared" si="24"/>
        <v>0</v>
      </c>
      <c r="BW13" s="3">
        <f t="shared" si="25"/>
        <v>0</v>
      </c>
      <c r="BX13" s="3">
        <f t="shared" si="26"/>
        <v>0</v>
      </c>
      <c r="BY13" s="3">
        <f t="shared" si="27"/>
        <v>0</v>
      </c>
      <c r="BZ13" s="3">
        <f t="shared" si="28"/>
        <v>0</v>
      </c>
      <c r="CA13" s="3">
        <f t="shared" si="29"/>
        <v>0</v>
      </c>
      <c r="CB13" s="3">
        <f t="shared" si="30"/>
        <v>0</v>
      </c>
      <c r="CC13" s="3">
        <f t="shared" si="31"/>
        <v>0</v>
      </c>
      <c r="CD13" s="3">
        <f t="shared" si="32"/>
        <v>0</v>
      </c>
      <c r="CE13" s="3">
        <f t="shared" si="33"/>
        <v>0</v>
      </c>
      <c r="CF13" s="3">
        <f t="shared" si="34"/>
        <v>0</v>
      </c>
    </row>
    <row r="14" spans="1:84" s="3" customFormat="1" x14ac:dyDescent="0.2">
      <c r="A14" s="70"/>
      <c r="B14" s="64"/>
      <c r="C14" s="70" t="s">
        <v>98</v>
      </c>
      <c r="D14" s="70"/>
      <c r="E14" s="14"/>
      <c r="F14" s="19"/>
      <c r="G14" s="93">
        <f t="shared" si="35"/>
        <v>0</v>
      </c>
      <c r="H14" s="14"/>
      <c r="I14" s="19"/>
      <c r="J14" s="93">
        <f t="shared" si="42"/>
        <v>0</v>
      </c>
      <c r="K14" s="14"/>
      <c r="L14" s="19"/>
      <c r="M14" s="93">
        <f t="shared" si="0"/>
        <v>0</v>
      </c>
      <c r="N14" s="14"/>
      <c r="O14" s="19"/>
      <c r="P14" s="93">
        <f t="shared" si="1"/>
        <v>0</v>
      </c>
      <c r="Q14" s="14"/>
      <c r="R14" s="19"/>
      <c r="S14" s="93">
        <f t="shared" si="2"/>
        <v>0</v>
      </c>
      <c r="T14" s="14"/>
      <c r="U14" s="19"/>
      <c r="V14" s="93">
        <f t="shared" si="3"/>
        <v>0</v>
      </c>
      <c r="W14" s="14"/>
      <c r="X14" s="19"/>
      <c r="Y14" s="93">
        <f t="shared" si="4"/>
        <v>0</v>
      </c>
      <c r="Z14" s="14"/>
      <c r="AA14" s="19"/>
      <c r="AB14" s="93">
        <f t="shared" si="5"/>
        <v>0</v>
      </c>
      <c r="AC14" s="14"/>
      <c r="AD14" s="19"/>
      <c r="AE14" s="93">
        <f t="shared" si="6"/>
        <v>0</v>
      </c>
      <c r="AF14" s="14"/>
      <c r="AG14" s="19"/>
      <c r="AH14" s="93">
        <f t="shared" si="7"/>
        <v>0</v>
      </c>
      <c r="AI14" s="14"/>
      <c r="AJ14" s="19"/>
      <c r="AK14" s="93">
        <f t="shared" si="8"/>
        <v>0</v>
      </c>
      <c r="AL14" s="14"/>
      <c r="AM14" s="19"/>
      <c r="AN14" s="93">
        <f t="shared" si="9"/>
        <v>0</v>
      </c>
      <c r="AO14" s="102">
        <f t="shared" si="10"/>
        <v>0</v>
      </c>
      <c r="AP14" s="95">
        <f t="shared" si="11"/>
        <v>0</v>
      </c>
      <c r="AQ14" s="96">
        <f t="shared" si="43"/>
        <v>0</v>
      </c>
      <c r="AR14" s="6" t="str">
        <f t="shared" si="12"/>
        <v>RENTEUDGIFTER</v>
      </c>
      <c r="AT14" s="9"/>
      <c r="AU14" s="37">
        <f t="shared" si="44"/>
        <v>0</v>
      </c>
      <c r="AV14" s="9">
        <f t="shared" si="45"/>
        <v>0</v>
      </c>
      <c r="AW14" s="3">
        <f t="shared" si="46"/>
        <v>0</v>
      </c>
      <c r="AX14" s="3">
        <f t="shared" si="47"/>
        <v>0</v>
      </c>
      <c r="AY14" s="3">
        <f t="shared" si="48"/>
        <v>0</v>
      </c>
      <c r="AZ14" s="3">
        <f t="shared" si="49"/>
        <v>0</v>
      </c>
      <c r="BA14" s="3">
        <f t="shared" si="50"/>
        <v>0</v>
      </c>
      <c r="BB14" s="3">
        <f t="shared" si="51"/>
        <v>0</v>
      </c>
      <c r="BC14" s="3">
        <f t="shared" si="52"/>
        <v>0</v>
      </c>
      <c r="BD14" s="3">
        <f t="shared" si="53"/>
        <v>0</v>
      </c>
      <c r="BE14" s="3">
        <f t="shared" si="54"/>
        <v>0</v>
      </c>
      <c r="BF14" s="3">
        <f t="shared" si="55"/>
        <v>0</v>
      </c>
      <c r="BG14" s="3">
        <f t="shared" si="56"/>
        <v>0</v>
      </c>
      <c r="BH14" s="3">
        <f t="shared" si="57"/>
        <v>0</v>
      </c>
      <c r="BI14" s="3">
        <f t="shared" si="39"/>
        <v>0</v>
      </c>
      <c r="BJ14" s="3">
        <f t="shared" si="13"/>
        <v>0</v>
      </c>
      <c r="BK14" s="3">
        <f t="shared" si="14"/>
        <v>0</v>
      </c>
      <c r="BL14" s="3">
        <f t="shared" si="15"/>
        <v>0</v>
      </c>
      <c r="BM14" s="3">
        <f t="shared" si="16"/>
        <v>0</v>
      </c>
      <c r="BN14" s="3">
        <f t="shared" si="17"/>
        <v>0</v>
      </c>
      <c r="BO14" s="3">
        <f t="shared" si="18"/>
        <v>0</v>
      </c>
      <c r="BP14" s="3">
        <f t="shared" si="19"/>
        <v>0</v>
      </c>
      <c r="BQ14" s="3">
        <f t="shared" si="20"/>
        <v>0</v>
      </c>
      <c r="BR14" s="3">
        <f t="shared" si="21"/>
        <v>0</v>
      </c>
      <c r="BS14" s="3">
        <f t="shared" si="22"/>
        <v>0</v>
      </c>
      <c r="BT14" s="3">
        <f t="shared" si="23"/>
        <v>0</v>
      </c>
      <c r="BU14" s="3">
        <f t="shared" si="40"/>
        <v>0</v>
      </c>
      <c r="BV14" s="3">
        <f t="shared" si="24"/>
        <v>0</v>
      </c>
      <c r="BW14" s="3">
        <f t="shared" si="25"/>
        <v>0</v>
      </c>
      <c r="BX14" s="3">
        <f t="shared" si="26"/>
        <v>0</v>
      </c>
      <c r="BY14" s="3">
        <f t="shared" si="27"/>
        <v>0</v>
      </c>
      <c r="BZ14" s="3">
        <f t="shared" si="28"/>
        <v>0</v>
      </c>
      <c r="CA14" s="3">
        <f t="shared" si="29"/>
        <v>0</v>
      </c>
      <c r="CB14" s="3">
        <f t="shared" si="30"/>
        <v>0</v>
      </c>
      <c r="CC14" s="3">
        <f t="shared" si="31"/>
        <v>0</v>
      </c>
      <c r="CD14" s="3">
        <f t="shared" si="32"/>
        <v>0</v>
      </c>
      <c r="CE14" s="3">
        <f t="shared" si="33"/>
        <v>0</v>
      </c>
      <c r="CF14" s="3">
        <f t="shared" si="34"/>
        <v>0</v>
      </c>
    </row>
    <row r="15" spans="1:84" s="4" customFormat="1" x14ac:dyDescent="0.2">
      <c r="A15" s="72"/>
      <c r="B15" s="103"/>
      <c r="C15" s="104" t="s">
        <v>105</v>
      </c>
      <c r="D15" s="104"/>
      <c r="E15" s="105">
        <f t="shared" ref="E15:AP15" si="58">SUM(E7:E14)</f>
        <v>0</v>
      </c>
      <c r="F15" s="104">
        <f t="shared" si="58"/>
        <v>0</v>
      </c>
      <c r="G15" s="106">
        <f t="shared" si="58"/>
        <v>0</v>
      </c>
      <c r="H15" s="105">
        <f t="shared" si="58"/>
        <v>0</v>
      </c>
      <c r="I15" s="104">
        <f t="shared" si="58"/>
        <v>0</v>
      </c>
      <c r="J15" s="106">
        <f t="shared" si="58"/>
        <v>0</v>
      </c>
      <c r="K15" s="105">
        <f t="shared" si="58"/>
        <v>0</v>
      </c>
      <c r="L15" s="104">
        <f t="shared" si="58"/>
        <v>0</v>
      </c>
      <c r="M15" s="106">
        <f t="shared" si="58"/>
        <v>0</v>
      </c>
      <c r="N15" s="105">
        <f t="shared" si="58"/>
        <v>0</v>
      </c>
      <c r="O15" s="104">
        <f t="shared" si="58"/>
        <v>0</v>
      </c>
      <c r="P15" s="106">
        <f t="shared" si="58"/>
        <v>0</v>
      </c>
      <c r="Q15" s="105">
        <f t="shared" si="58"/>
        <v>0</v>
      </c>
      <c r="R15" s="104">
        <f t="shared" si="58"/>
        <v>0</v>
      </c>
      <c r="S15" s="106">
        <f t="shared" si="58"/>
        <v>0</v>
      </c>
      <c r="T15" s="105">
        <f t="shared" si="58"/>
        <v>0</v>
      </c>
      <c r="U15" s="104">
        <f t="shared" si="58"/>
        <v>0</v>
      </c>
      <c r="V15" s="106">
        <f t="shared" si="58"/>
        <v>0</v>
      </c>
      <c r="W15" s="105">
        <f t="shared" si="58"/>
        <v>0</v>
      </c>
      <c r="X15" s="104">
        <f t="shared" si="58"/>
        <v>0</v>
      </c>
      <c r="Y15" s="106">
        <f t="shared" si="58"/>
        <v>0</v>
      </c>
      <c r="Z15" s="105">
        <f t="shared" si="58"/>
        <v>0</v>
      </c>
      <c r="AA15" s="104">
        <f>SUM(AA7:AA14)</f>
        <v>0</v>
      </c>
      <c r="AB15" s="106">
        <f t="shared" si="58"/>
        <v>0</v>
      </c>
      <c r="AC15" s="105">
        <f t="shared" si="58"/>
        <v>0</v>
      </c>
      <c r="AD15" s="104">
        <f t="shared" si="58"/>
        <v>0</v>
      </c>
      <c r="AE15" s="106">
        <f t="shared" si="58"/>
        <v>0</v>
      </c>
      <c r="AF15" s="105">
        <f t="shared" si="58"/>
        <v>0</v>
      </c>
      <c r="AG15" s="104">
        <f t="shared" si="58"/>
        <v>0</v>
      </c>
      <c r="AH15" s="106">
        <f t="shared" si="58"/>
        <v>0</v>
      </c>
      <c r="AI15" s="105">
        <f t="shared" si="58"/>
        <v>0</v>
      </c>
      <c r="AJ15" s="104">
        <f t="shared" si="58"/>
        <v>0</v>
      </c>
      <c r="AK15" s="106">
        <f t="shared" si="58"/>
        <v>0</v>
      </c>
      <c r="AL15" s="105">
        <f t="shared" si="58"/>
        <v>0</v>
      </c>
      <c r="AM15" s="104">
        <f t="shared" si="58"/>
        <v>0</v>
      </c>
      <c r="AN15" s="106">
        <f t="shared" si="58"/>
        <v>0</v>
      </c>
      <c r="AO15" s="107">
        <f t="shared" si="58"/>
        <v>0</v>
      </c>
      <c r="AP15" s="108">
        <f t="shared" si="58"/>
        <v>0</v>
      </c>
      <c r="AQ15" s="105">
        <f>SUM(AQ7:AQ14)</f>
        <v>0</v>
      </c>
      <c r="AR15" s="7" t="str">
        <f>C15</f>
        <v>RESULTAT</v>
      </c>
      <c r="AS15" s="5"/>
      <c r="AT15" s="8">
        <f>SUM(AT7:AT14)</f>
        <v>0</v>
      </c>
      <c r="AU15" s="38">
        <f>SUM(AU7:AU14)</f>
        <v>0</v>
      </c>
      <c r="AV15" s="8">
        <f>SUM(AV7:AV14)</f>
        <v>0</v>
      </c>
      <c r="AW15" s="7">
        <f>SUM(AW7:AW14)</f>
        <v>0</v>
      </c>
      <c r="AX15" s="5">
        <f>SUM(AX7:AX14)</f>
        <v>0</v>
      </c>
      <c r="AY15" s="5">
        <f t="shared" ref="AY15:BH15" si="59">SUM(AY7:AY14)</f>
        <v>0</v>
      </c>
      <c r="AZ15" s="5">
        <f t="shared" si="59"/>
        <v>0</v>
      </c>
      <c r="BA15" s="5">
        <f t="shared" si="59"/>
        <v>0</v>
      </c>
      <c r="BB15" s="5">
        <f t="shared" si="59"/>
        <v>0</v>
      </c>
      <c r="BC15" s="5">
        <f t="shared" si="59"/>
        <v>0</v>
      </c>
      <c r="BD15" s="5">
        <f t="shared" si="59"/>
        <v>0</v>
      </c>
      <c r="BE15" s="5">
        <f t="shared" si="59"/>
        <v>0</v>
      </c>
      <c r="BF15" s="5">
        <f t="shared" si="59"/>
        <v>0</v>
      </c>
      <c r="BG15" s="5">
        <f t="shared" si="59"/>
        <v>0</v>
      </c>
      <c r="BH15" s="5">
        <f t="shared" si="59"/>
        <v>0</v>
      </c>
      <c r="BI15" s="5">
        <f t="shared" si="39"/>
        <v>0</v>
      </c>
      <c r="BJ15" s="5">
        <f t="shared" si="13"/>
        <v>0</v>
      </c>
      <c r="BK15" s="5">
        <f t="shared" si="14"/>
        <v>0</v>
      </c>
      <c r="BL15" s="5">
        <f t="shared" si="15"/>
        <v>0</v>
      </c>
      <c r="BM15" s="5">
        <f t="shared" si="16"/>
        <v>0</v>
      </c>
      <c r="BN15" s="5">
        <f t="shared" si="17"/>
        <v>0</v>
      </c>
      <c r="BO15" s="5">
        <f t="shared" si="18"/>
        <v>0</v>
      </c>
      <c r="BP15" s="5">
        <f t="shared" si="19"/>
        <v>0</v>
      </c>
      <c r="BQ15" s="5">
        <f t="shared" si="20"/>
        <v>0</v>
      </c>
      <c r="BR15" s="5">
        <f t="shared" si="21"/>
        <v>0</v>
      </c>
      <c r="BS15" s="5">
        <f t="shared" si="22"/>
        <v>0</v>
      </c>
      <c r="BT15" s="5">
        <f t="shared" si="23"/>
        <v>0</v>
      </c>
      <c r="BU15" s="5">
        <f t="shared" si="40"/>
        <v>0</v>
      </c>
      <c r="BV15" s="5">
        <f t="shared" si="24"/>
        <v>0</v>
      </c>
      <c r="BW15" s="5">
        <f t="shared" si="25"/>
        <v>0</v>
      </c>
      <c r="BX15" s="5">
        <f t="shared" si="26"/>
        <v>0</v>
      </c>
      <c r="BY15" s="5">
        <f t="shared" si="27"/>
        <v>0</v>
      </c>
      <c r="BZ15" s="5">
        <f t="shared" si="28"/>
        <v>0</v>
      </c>
      <c r="CA15" s="5">
        <f t="shared" si="29"/>
        <v>0</v>
      </c>
      <c r="CB15" s="5">
        <f t="shared" si="30"/>
        <v>0</v>
      </c>
      <c r="CC15" s="5">
        <f t="shared" si="31"/>
        <v>0</v>
      </c>
      <c r="CD15" s="5">
        <f t="shared" si="32"/>
        <v>0</v>
      </c>
      <c r="CE15" s="5">
        <f t="shared" si="33"/>
        <v>0</v>
      </c>
      <c r="CF15" s="5">
        <f t="shared" si="34"/>
        <v>0</v>
      </c>
    </row>
    <row r="16" spans="1:84" s="3" customFormat="1" hidden="1" x14ac:dyDescent="0.2">
      <c r="A16" s="70"/>
      <c r="B16" s="72" t="s">
        <v>7</v>
      </c>
      <c r="C16" s="70"/>
      <c r="D16" s="111"/>
      <c r="E16" s="97"/>
      <c r="F16" s="70"/>
      <c r="G16" s="93">
        <f t="shared" ref="G16:G26" si="60">F16-E16</f>
        <v>0</v>
      </c>
      <c r="H16" s="97"/>
      <c r="I16" s="70"/>
      <c r="J16" s="93">
        <f t="shared" ref="J16:J26" si="61">I16-H16</f>
        <v>0</v>
      </c>
      <c r="K16" s="97"/>
      <c r="L16" s="70"/>
      <c r="M16" s="93">
        <f t="shared" ref="M16:M23" si="62">L16-K16</f>
        <v>0</v>
      </c>
      <c r="N16" s="97"/>
      <c r="O16" s="70"/>
      <c r="P16" s="93">
        <f t="shared" ref="P16:P23" si="63">O16-N16</f>
        <v>0</v>
      </c>
      <c r="Q16" s="97"/>
      <c r="R16" s="70"/>
      <c r="S16" s="93">
        <f t="shared" ref="S16:S23" si="64">R16-Q16</f>
        <v>0</v>
      </c>
      <c r="T16" s="97"/>
      <c r="U16" s="70"/>
      <c r="V16" s="93">
        <f t="shared" ref="V16:V23" si="65">U16-T16</f>
        <v>0</v>
      </c>
      <c r="W16" s="97"/>
      <c r="X16" s="70"/>
      <c r="Y16" s="93">
        <f t="shared" ref="Y16:Y26" si="66">X16-W16</f>
        <v>0</v>
      </c>
      <c r="Z16" s="97"/>
      <c r="AA16" s="70"/>
      <c r="AB16" s="93">
        <f t="shared" ref="AB16:AB26" si="67">AA16-Z16</f>
        <v>0</v>
      </c>
      <c r="AC16" s="97"/>
      <c r="AD16" s="70"/>
      <c r="AE16" s="93">
        <f t="shared" ref="AE16:AE26" si="68">AD16-AC16</f>
        <v>0</v>
      </c>
      <c r="AF16" s="97"/>
      <c r="AG16" s="70"/>
      <c r="AH16" s="93">
        <f t="shared" ref="AH16:AH26" si="69">AG16-AF16</f>
        <v>0</v>
      </c>
      <c r="AI16" s="97"/>
      <c r="AJ16" s="70"/>
      <c r="AK16" s="93">
        <f t="shared" ref="AK16:AK26" si="70">AJ16-AI16</f>
        <v>0</v>
      </c>
      <c r="AL16" s="97"/>
      <c r="AM16" s="70"/>
      <c r="AN16" s="93">
        <f t="shared" ref="AN16:AN26" si="71">AM16-AL16</f>
        <v>0</v>
      </c>
      <c r="AO16" s="112">
        <f t="shared" ref="AO16:AP24" si="72">AL16+AI16+AF16+AC16+Z16+W16+T16+Q16+N16+K16+H16+E16</f>
        <v>0</v>
      </c>
      <c r="AP16" s="113"/>
      <c r="AQ16" s="96"/>
      <c r="AR16" s="6"/>
      <c r="AT16" s="9">
        <v>0</v>
      </c>
      <c r="AU16" s="37"/>
      <c r="AV16" s="9"/>
    </row>
    <row r="17" spans="1:94" s="3" customFormat="1" hidden="1" x14ac:dyDescent="0.2">
      <c r="A17" s="70"/>
      <c r="B17" s="64"/>
      <c r="C17" s="70" t="s">
        <v>83</v>
      </c>
      <c r="D17" s="70" t="s">
        <v>3</v>
      </c>
      <c r="E17" s="114">
        <f>D33-E33</f>
        <v>0</v>
      </c>
      <c r="F17" s="70">
        <f>D33-F33</f>
        <v>0</v>
      </c>
      <c r="G17" s="93">
        <f t="shared" si="60"/>
        <v>0</v>
      </c>
      <c r="H17" s="97">
        <f>E33-H33</f>
        <v>0</v>
      </c>
      <c r="I17" s="70">
        <f>F33-I33</f>
        <v>0</v>
      </c>
      <c r="J17" s="93">
        <f t="shared" si="61"/>
        <v>0</v>
      </c>
      <c r="K17" s="97">
        <f>H33-K33</f>
        <v>0</v>
      </c>
      <c r="L17" s="70">
        <f>I33-L33</f>
        <v>0</v>
      </c>
      <c r="M17" s="93">
        <f t="shared" si="62"/>
        <v>0</v>
      </c>
      <c r="N17" s="97">
        <f>K33-N33</f>
        <v>0</v>
      </c>
      <c r="O17" s="70">
        <f>L33-O33</f>
        <v>0</v>
      </c>
      <c r="P17" s="93">
        <f t="shared" si="63"/>
        <v>0</v>
      </c>
      <c r="Q17" s="97">
        <f>N33-Q33</f>
        <v>0</v>
      </c>
      <c r="R17" s="70">
        <f>O33-R33</f>
        <v>0</v>
      </c>
      <c r="S17" s="93">
        <f t="shared" si="64"/>
        <v>0</v>
      </c>
      <c r="T17" s="97">
        <f>Q33-T33</f>
        <v>0</v>
      </c>
      <c r="U17" s="70">
        <f>R33-U33</f>
        <v>0</v>
      </c>
      <c r="V17" s="93">
        <f t="shared" si="65"/>
        <v>0</v>
      </c>
      <c r="W17" s="97">
        <f>T33-W33</f>
        <v>0</v>
      </c>
      <c r="X17" s="70">
        <f>U33-X33</f>
        <v>0</v>
      </c>
      <c r="Y17" s="93">
        <f t="shared" si="66"/>
        <v>0</v>
      </c>
      <c r="Z17" s="97">
        <f>W33-Z33</f>
        <v>0</v>
      </c>
      <c r="AA17" s="70">
        <f>X33-AA33</f>
        <v>0</v>
      </c>
      <c r="AB17" s="93">
        <f t="shared" si="67"/>
        <v>0</v>
      </c>
      <c r="AC17" s="97">
        <f>Z33-AC33</f>
        <v>0</v>
      </c>
      <c r="AD17" s="70">
        <f>AA33-AD33</f>
        <v>0</v>
      </c>
      <c r="AE17" s="93">
        <f t="shared" si="68"/>
        <v>0</v>
      </c>
      <c r="AF17" s="97">
        <f>AC33-AF33</f>
        <v>0</v>
      </c>
      <c r="AG17" s="70">
        <f>AD33-AG33</f>
        <v>0</v>
      </c>
      <c r="AH17" s="93">
        <f t="shared" si="69"/>
        <v>0</v>
      </c>
      <c r="AI17" s="97">
        <f>AF33-AI33</f>
        <v>0</v>
      </c>
      <c r="AJ17" s="70">
        <f>AG33-AJ33</f>
        <v>0</v>
      </c>
      <c r="AK17" s="93">
        <f t="shared" si="70"/>
        <v>0</v>
      </c>
      <c r="AL17" s="97">
        <f>AI33-AL33</f>
        <v>0</v>
      </c>
      <c r="AM17" s="63">
        <f>AJ33-AM33</f>
        <v>0</v>
      </c>
      <c r="AN17" s="93">
        <f t="shared" si="71"/>
        <v>0</v>
      </c>
      <c r="AO17" s="112">
        <f t="shared" ref="AO17:AO23" si="73">INDEX(BI17:BT17,1,$I$1)</f>
        <v>0</v>
      </c>
      <c r="AP17" s="115">
        <f t="shared" ref="AP17:AP23" si="74">INDEX(BU17:CF17,1,$I$1)</f>
        <v>0</v>
      </c>
      <c r="AQ17" s="96">
        <f t="shared" ref="AQ17:AQ24" si="75">AP17-AO17</f>
        <v>0</v>
      </c>
      <c r="AR17" s="6" t="str">
        <f t="shared" ref="AR17:AR24" si="76">C17</f>
        <v>Ændring anlægsaktiver</v>
      </c>
      <c r="AT17" s="9">
        <v>-76660</v>
      </c>
      <c r="AU17" s="37">
        <f t="shared" ref="AU17:AU24" si="77">INDEX(AW17:BH17,1,$I$1)</f>
        <v>0</v>
      </c>
      <c r="AV17" s="9">
        <f t="shared" ref="AV17:AV24" si="78">AU17-AT17</f>
        <v>76660</v>
      </c>
      <c r="AW17" s="3">
        <f t="shared" ref="AW17:AW25" si="79">AL17+AI17+AF17+AC17+Z17+W17+T17+Q17+N17+K17+H17+F17</f>
        <v>0</v>
      </c>
      <c r="AX17" s="3">
        <f t="shared" ref="AX17:AX25" si="80">AL17+AI17+AF17+AC17+Z17+W17+T17+Q17+N17+K17+I17+F17</f>
        <v>0</v>
      </c>
      <c r="AY17" s="3">
        <f t="shared" ref="AY17:AY25" si="81">AL17+AI17+AF17+AC17+Z17+W17+T17+Q17+N17+L17+I17+F17</f>
        <v>0</v>
      </c>
      <c r="AZ17" s="3">
        <f t="shared" ref="AZ17:AZ25" si="82">AL17+AI17+AF17+AC17+Z17+W17+T17+Q17+O17+L17+I17+F17</f>
        <v>0</v>
      </c>
      <c r="BA17" s="3">
        <f t="shared" ref="BA17:BA25" si="83">AL17+AI17+AF17+AC17+Z17+W17+T17+R17+O17+L17+I17+F17</f>
        <v>0</v>
      </c>
      <c r="BB17" s="3">
        <f t="shared" ref="BB17:BB25" si="84">AL17+AI17+AF17+AC17+Z17+W17+U17+R17+O17+L17+I17+F17</f>
        <v>0</v>
      </c>
      <c r="BC17" s="3">
        <f t="shared" ref="BC17:BC25" si="85">AL17+AI17+AF17+AC17+Z17+X17+U17+R17+O17+L17+I17+F17</f>
        <v>0</v>
      </c>
      <c r="BD17" s="3">
        <f t="shared" ref="BD17:BD25" si="86">AL17+AI17+AF17+AC17+AA17+X17+U17+R17+O17+L17+I17+F17</f>
        <v>0</v>
      </c>
      <c r="BE17" s="3">
        <f t="shared" ref="BE17:BE25" si="87">AL17+AI17+AF17+AD17+AA17+X17+U17+R17+O17+L17+I17+F17</f>
        <v>0</v>
      </c>
      <c r="BF17" s="3">
        <f t="shared" ref="BF17:BF25" si="88">AL17+AI17+AG17+AD17+AA17+X17+U17+R17+O17+L17+I17+F17</f>
        <v>0</v>
      </c>
      <c r="BG17" s="3">
        <f t="shared" ref="BG17:BG25" si="89">AL17+AJ17+AG17+AD17+AA17+X17+U17+R17+O17+L17+I17+F17</f>
        <v>0</v>
      </c>
      <c r="BH17" s="3">
        <f t="shared" ref="BH17:BH25" si="90">AM17+AJ17+AG17+AD17+AA17+X17+U17+R17+O17+L17+I17+F17</f>
        <v>0</v>
      </c>
      <c r="BI17" s="3">
        <f t="shared" ref="BI17:BI23" si="91">E17</f>
        <v>0</v>
      </c>
      <c r="BJ17" s="3">
        <f t="shared" ref="BJ17:BJ23" si="92">BI17+H17</f>
        <v>0</v>
      </c>
      <c r="BK17" s="3">
        <f t="shared" ref="BK17:BK23" si="93">BJ17+K17</f>
        <v>0</v>
      </c>
      <c r="BL17" s="3">
        <f t="shared" ref="BL17:BL23" si="94">BK17+N17</f>
        <v>0</v>
      </c>
      <c r="BM17" s="3">
        <f t="shared" ref="BM17:BM23" si="95">BL17+Q17</f>
        <v>0</v>
      </c>
      <c r="BN17" s="3">
        <f t="shared" ref="BN17:BN23" si="96">BM17+T17</f>
        <v>0</v>
      </c>
      <c r="BO17" s="3">
        <f t="shared" ref="BO17:BO23" si="97">BN17+W17</f>
        <v>0</v>
      </c>
      <c r="BP17" s="3">
        <f t="shared" ref="BP17:BP23" si="98">BO17+Z17</f>
        <v>0</v>
      </c>
      <c r="BQ17" s="3">
        <f t="shared" ref="BQ17:BQ23" si="99">BP17+AC17</f>
        <v>0</v>
      </c>
      <c r="BR17" s="3">
        <f t="shared" ref="BR17:BR23" si="100">+BQ17+AF17</f>
        <v>0</v>
      </c>
      <c r="BS17" s="3">
        <f t="shared" ref="BS17:BS23" si="101">+BR17+AI17</f>
        <v>0</v>
      </c>
      <c r="BT17" s="3">
        <f t="shared" ref="BT17:BT23" si="102">BS17+AL17</f>
        <v>0</v>
      </c>
      <c r="BU17" s="3">
        <f t="shared" ref="BU17:BU23" si="103">F17</f>
        <v>0</v>
      </c>
      <c r="BV17" s="3">
        <f t="shared" ref="BV17:BV23" si="104">BU17+I17</f>
        <v>0</v>
      </c>
      <c r="BW17" s="3">
        <f t="shared" ref="BW17:BW23" si="105">BV17+L17</f>
        <v>0</v>
      </c>
      <c r="BX17" s="3">
        <f t="shared" ref="BX17:BX23" si="106">BW17+O17</f>
        <v>0</v>
      </c>
      <c r="BY17" s="3">
        <f t="shared" ref="BY17:BY23" si="107">BX17+R17</f>
        <v>0</v>
      </c>
      <c r="BZ17" s="3">
        <f t="shared" ref="BZ17:BZ23" si="108">BY17+U17</f>
        <v>0</v>
      </c>
      <c r="CA17" s="3">
        <f t="shared" ref="CA17:CA23" si="109">BZ17+X17</f>
        <v>0</v>
      </c>
      <c r="CB17" s="3">
        <f t="shared" ref="CB17:CB23" si="110">CA17+AA17</f>
        <v>0</v>
      </c>
      <c r="CC17" s="3">
        <f t="shared" ref="CC17:CC23" si="111">CB17+AD17</f>
        <v>0</v>
      </c>
      <c r="CD17" s="3">
        <f t="shared" ref="CD17:CD23" si="112">+CC17+AG17</f>
        <v>0</v>
      </c>
      <c r="CE17" s="3">
        <f t="shared" ref="CE17:CE23" si="113">+CD17+AJ17</f>
        <v>0</v>
      </c>
      <c r="CF17" s="3">
        <f t="shared" ref="CF17:CF23" si="114">CE17+AM17</f>
        <v>0</v>
      </c>
    </row>
    <row r="18" spans="1:94" s="3" customFormat="1" hidden="1" x14ac:dyDescent="0.2">
      <c r="A18" s="70"/>
      <c r="B18" s="64"/>
      <c r="C18" s="70" t="s">
        <v>84</v>
      </c>
      <c r="D18" s="70"/>
      <c r="E18" s="114">
        <f>D34-E34</f>
        <v>0</v>
      </c>
      <c r="F18" s="70">
        <f>D34-F34</f>
        <v>0</v>
      </c>
      <c r="G18" s="93">
        <f t="shared" si="60"/>
        <v>0</v>
      </c>
      <c r="H18" s="97">
        <f>E34-H34</f>
        <v>0</v>
      </c>
      <c r="I18" s="70">
        <f>F34-I34</f>
        <v>0</v>
      </c>
      <c r="J18" s="93">
        <f t="shared" si="61"/>
        <v>0</v>
      </c>
      <c r="K18" s="97">
        <f>H34-K34</f>
        <v>0</v>
      </c>
      <c r="L18" s="70">
        <f>I34-L34</f>
        <v>0</v>
      </c>
      <c r="M18" s="93">
        <f t="shared" si="62"/>
        <v>0</v>
      </c>
      <c r="N18" s="97">
        <f>K34-N34</f>
        <v>0</v>
      </c>
      <c r="O18" s="70">
        <f>L34-O34</f>
        <v>0</v>
      </c>
      <c r="P18" s="93">
        <f t="shared" si="63"/>
        <v>0</v>
      </c>
      <c r="Q18" s="97">
        <f>N34-Q34</f>
        <v>0</v>
      </c>
      <c r="R18" s="70">
        <f>O34-R34</f>
        <v>0</v>
      </c>
      <c r="S18" s="93">
        <f t="shared" si="64"/>
        <v>0</v>
      </c>
      <c r="T18" s="97">
        <f>Q34-T34</f>
        <v>0</v>
      </c>
      <c r="U18" s="70">
        <f>R34-U34</f>
        <v>0</v>
      </c>
      <c r="V18" s="93">
        <f t="shared" si="65"/>
        <v>0</v>
      </c>
      <c r="W18" s="97">
        <f>T34-W34</f>
        <v>0</v>
      </c>
      <c r="X18" s="70">
        <f>U34-X34</f>
        <v>0</v>
      </c>
      <c r="Y18" s="93">
        <f t="shared" si="66"/>
        <v>0</v>
      </c>
      <c r="Z18" s="97">
        <f>W34-Z34</f>
        <v>0</v>
      </c>
      <c r="AA18" s="70">
        <f>X34-AA34</f>
        <v>0</v>
      </c>
      <c r="AB18" s="93">
        <f t="shared" si="67"/>
        <v>0</v>
      </c>
      <c r="AC18" s="97">
        <f>Z34-AC34</f>
        <v>0</v>
      </c>
      <c r="AD18" s="70">
        <f>AA34-AD34</f>
        <v>0</v>
      </c>
      <c r="AE18" s="93">
        <f t="shared" si="68"/>
        <v>0</v>
      </c>
      <c r="AF18" s="97">
        <f>AC34-AF34</f>
        <v>0</v>
      </c>
      <c r="AG18" s="70">
        <f>AD34-AG34</f>
        <v>0</v>
      </c>
      <c r="AH18" s="93">
        <f t="shared" si="69"/>
        <v>0</v>
      </c>
      <c r="AI18" s="97">
        <f>AF34-AI34</f>
        <v>0</v>
      </c>
      <c r="AJ18" s="70">
        <f>AG34-AJ34</f>
        <v>0</v>
      </c>
      <c r="AK18" s="93">
        <f t="shared" si="70"/>
        <v>0</v>
      </c>
      <c r="AL18" s="97">
        <f>AI34-AL34</f>
        <v>0</v>
      </c>
      <c r="AM18" s="63">
        <f>AJ34-AM34</f>
        <v>0</v>
      </c>
      <c r="AN18" s="93">
        <f t="shared" si="71"/>
        <v>0</v>
      </c>
      <c r="AO18" s="94">
        <f t="shared" si="73"/>
        <v>0</v>
      </c>
      <c r="AP18" s="95">
        <f t="shared" si="74"/>
        <v>0</v>
      </c>
      <c r="AQ18" s="96">
        <f>AP18-AO18</f>
        <v>0</v>
      </c>
      <c r="AR18" s="6" t="str">
        <f t="shared" si="76"/>
        <v>Ændring tilgodehavender</v>
      </c>
      <c r="AT18" s="9">
        <v>-25548</v>
      </c>
      <c r="AU18" s="37">
        <f t="shared" si="77"/>
        <v>0</v>
      </c>
      <c r="AV18" s="9">
        <f>AU18-AT18</f>
        <v>25548</v>
      </c>
      <c r="AW18" s="3">
        <f t="shared" si="79"/>
        <v>0</v>
      </c>
      <c r="AX18" s="3">
        <f t="shared" si="80"/>
        <v>0</v>
      </c>
      <c r="AY18" s="3">
        <f t="shared" si="81"/>
        <v>0</v>
      </c>
      <c r="AZ18" s="3">
        <f t="shared" si="82"/>
        <v>0</v>
      </c>
      <c r="BA18" s="3">
        <f t="shared" si="83"/>
        <v>0</v>
      </c>
      <c r="BB18" s="3">
        <f t="shared" si="84"/>
        <v>0</v>
      </c>
      <c r="BC18" s="3">
        <f t="shared" si="85"/>
        <v>0</v>
      </c>
      <c r="BD18" s="3">
        <f t="shared" si="86"/>
        <v>0</v>
      </c>
      <c r="BE18" s="3">
        <f t="shared" si="87"/>
        <v>0</v>
      </c>
      <c r="BF18" s="3">
        <f t="shared" si="88"/>
        <v>0</v>
      </c>
      <c r="BG18" s="3">
        <f t="shared" si="89"/>
        <v>0</v>
      </c>
      <c r="BH18" s="3">
        <f t="shared" si="90"/>
        <v>0</v>
      </c>
      <c r="BI18" s="3">
        <f t="shared" si="91"/>
        <v>0</v>
      </c>
      <c r="BJ18" s="3">
        <f t="shared" si="92"/>
        <v>0</v>
      </c>
      <c r="BK18" s="3">
        <f t="shared" si="93"/>
        <v>0</v>
      </c>
      <c r="BL18" s="3">
        <f t="shared" si="94"/>
        <v>0</v>
      </c>
      <c r="BM18" s="3">
        <f t="shared" si="95"/>
        <v>0</v>
      </c>
      <c r="BN18" s="3">
        <f t="shared" si="96"/>
        <v>0</v>
      </c>
      <c r="BO18" s="3">
        <f t="shared" si="97"/>
        <v>0</v>
      </c>
      <c r="BP18" s="3">
        <f t="shared" si="98"/>
        <v>0</v>
      </c>
      <c r="BQ18" s="3">
        <f t="shared" si="99"/>
        <v>0</v>
      </c>
      <c r="BR18" s="3">
        <f t="shared" si="100"/>
        <v>0</v>
      </c>
      <c r="BS18" s="3">
        <f t="shared" si="101"/>
        <v>0</v>
      </c>
      <c r="BT18" s="3">
        <f t="shared" si="102"/>
        <v>0</v>
      </c>
      <c r="BU18" s="3">
        <f t="shared" si="103"/>
        <v>0</v>
      </c>
      <c r="BV18" s="3">
        <f t="shared" si="104"/>
        <v>0</v>
      </c>
      <c r="BW18" s="3">
        <f t="shared" si="105"/>
        <v>0</v>
      </c>
      <c r="BX18" s="3">
        <f t="shared" si="106"/>
        <v>0</v>
      </c>
      <c r="BY18" s="3">
        <f t="shared" si="107"/>
        <v>0</v>
      </c>
      <c r="BZ18" s="3">
        <f t="shared" si="108"/>
        <v>0</v>
      </c>
      <c r="CA18" s="3">
        <f t="shared" si="109"/>
        <v>0</v>
      </c>
      <c r="CB18" s="3">
        <f t="shared" si="110"/>
        <v>0</v>
      </c>
      <c r="CC18" s="3">
        <f t="shared" si="111"/>
        <v>0</v>
      </c>
      <c r="CD18" s="3">
        <f t="shared" si="112"/>
        <v>0</v>
      </c>
      <c r="CE18" s="3">
        <f t="shared" si="113"/>
        <v>0</v>
      </c>
      <c r="CF18" s="3">
        <f t="shared" si="114"/>
        <v>0</v>
      </c>
    </row>
    <row r="19" spans="1:94" s="3" customFormat="1" hidden="1" x14ac:dyDescent="0.2">
      <c r="A19" s="70"/>
      <c r="B19" s="64"/>
      <c r="C19" s="70" t="s">
        <v>104</v>
      </c>
      <c r="D19" s="70"/>
      <c r="E19" s="114">
        <f>D38-E38</f>
        <v>0</v>
      </c>
      <c r="F19" s="70">
        <f>D38-F38</f>
        <v>0</v>
      </c>
      <c r="G19" s="93">
        <f t="shared" si="60"/>
        <v>0</v>
      </c>
      <c r="H19" s="97">
        <f t="shared" ref="H19:I22" si="115">E38-H38</f>
        <v>0</v>
      </c>
      <c r="I19" s="70">
        <f t="shared" si="115"/>
        <v>0</v>
      </c>
      <c r="J19" s="93">
        <f t="shared" si="61"/>
        <v>0</v>
      </c>
      <c r="K19" s="97">
        <f t="shared" ref="K19:L22" si="116">H38-K38</f>
        <v>0</v>
      </c>
      <c r="L19" s="70">
        <f t="shared" si="116"/>
        <v>0</v>
      </c>
      <c r="M19" s="93"/>
      <c r="N19" s="97">
        <f t="shared" ref="N19:O22" si="117">K38-N38</f>
        <v>0</v>
      </c>
      <c r="O19" s="70">
        <f t="shared" si="117"/>
        <v>0</v>
      </c>
      <c r="P19" s="93"/>
      <c r="Q19" s="97">
        <f t="shared" ref="Q19:R22" si="118">N38-Q38</f>
        <v>0</v>
      </c>
      <c r="R19" s="70">
        <f t="shared" si="118"/>
        <v>0</v>
      </c>
      <c r="S19" s="93"/>
      <c r="T19" s="97">
        <f t="shared" ref="T19:U22" si="119">Q38-T38</f>
        <v>0</v>
      </c>
      <c r="U19" s="70">
        <f t="shared" si="119"/>
        <v>0</v>
      </c>
      <c r="V19" s="93"/>
      <c r="W19" s="97">
        <f t="shared" ref="W19:X22" si="120">T38-W38</f>
        <v>0</v>
      </c>
      <c r="X19" s="70">
        <f t="shared" si="120"/>
        <v>0</v>
      </c>
      <c r="Y19" s="93">
        <f t="shared" si="66"/>
        <v>0</v>
      </c>
      <c r="Z19" s="97">
        <f t="shared" ref="Z19:AA22" si="121">W38-Z38</f>
        <v>0</v>
      </c>
      <c r="AA19" s="70">
        <f t="shared" si="121"/>
        <v>0</v>
      </c>
      <c r="AB19" s="93">
        <f t="shared" si="67"/>
        <v>0</v>
      </c>
      <c r="AC19" s="97">
        <f t="shared" ref="AC19:AD22" si="122">Z38-AC38</f>
        <v>0</v>
      </c>
      <c r="AD19" s="70">
        <f t="shared" si="122"/>
        <v>0</v>
      </c>
      <c r="AE19" s="93">
        <f t="shared" si="68"/>
        <v>0</v>
      </c>
      <c r="AF19" s="97">
        <f t="shared" ref="AF19:AG22" si="123">AC38-AF38</f>
        <v>0</v>
      </c>
      <c r="AG19" s="70">
        <f t="shared" si="123"/>
        <v>0</v>
      </c>
      <c r="AH19" s="93">
        <f t="shared" si="69"/>
        <v>0</v>
      </c>
      <c r="AI19" s="97">
        <f t="shared" ref="AI19:AJ22" si="124">AF38-AI38</f>
        <v>0</v>
      </c>
      <c r="AJ19" s="70">
        <f t="shared" si="124"/>
        <v>0</v>
      </c>
      <c r="AK19" s="93">
        <f t="shared" si="70"/>
        <v>0</v>
      </c>
      <c r="AL19" s="97">
        <f t="shared" ref="AL19:AM22" si="125">AI38-AL38</f>
        <v>0</v>
      </c>
      <c r="AM19" s="63">
        <f t="shared" si="125"/>
        <v>0</v>
      </c>
      <c r="AN19" s="93">
        <f t="shared" si="71"/>
        <v>0</v>
      </c>
      <c r="AO19" s="94">
        <f t="shared" si="73"/>
        <v>0</v>
      </c>
      <c r="AP19" s="95">
        <f t="shared" si="74"/>
        <v>0</v>
      </c>
      <c r="AQ19" s="96">
        <f t="shared" si="75"/>
        <v>0</v>
      </c>
      <c r="AR19" s="6" t="str">
        <f t="shared" si="76"/>
        <v>Hævet til privat, bil og skat</v>
      </c>
      <c r="AT19" s="9">
        <v>-138695</v>
      </c>
      <c r="AU19" s="37">
        <f t="shared" si="77"/>
        <v>0</v>
      </c>
      <c r="AV19" s="9">
        <f t="shared" si="78"/>
        <v>138695</v>
      </c>
      <c r="AW19" s="3">
        <f t="shared" si="79"/>
        <v>0</v>
      </c>
      <c r="AX19" s="3">
        <f t="shared" si="80"/>
        <v>0</v>
      </c>
      <c r="AY19" s="3">
        <f t="shared" si="81"/>
        <v>0</v>
      </c>
      <c r="AZ19" s="3">
        <f t="shared" si="82"/>
        <v>0</v>
      </c>
      <c r="BA19" s="3">
        <f t="shared" si="83"/>
        <v>0</v>
      </c>
      <c r="BB19" s="3">
        <f t="shared" si="84"/>
        <v>0</v>
      </c>
      <c r="BC19" s="3">
        <f t="shared" si="85"/>
        <v>0</v>
      </c>
      <c r="BD19" s="3">
        <f t="shared" si="86"/>
        <v>0</v>
      </c>
      <c r="BE19" s="3">
        <f t="shared" si="87"/>
        <v>0</v>
      </c>
      <c r="BF19" s="3">
        <f t="shared" si="88"/>
        <v>0</v>
      </c>
      <c r="BG19" s="3">
        <f t="shared" si="89"/>
        <v>0</v>
      </c>
      <c r="BH19" s="3">
        <f t="shared" si="90"/>
        <v>0</v>
      </c>
      <c r="BI19" s="3">
        <f t="shared" si="91"/>
        <v>0</v>
      </c>
      <c r="BJ19" s="3">
        <f t="shared" si="92"/>
        <v>0</v>
      </c>
      <c r="BK19" s="3">
        <f t="shared" si="93"/>
        <v>0</v>
      </c>
      <c r="BL19" s="3">
        <f t="shared" si="94"/>
        <v>0</v>
      </c>
      <c r="BM19" s="3">
        <f t="shared" si="95"/>
        <v>0</v>
      </c>
      <c r="BN19" s="3">
        <f t="shared" si="96"/>
        <v>0</v>
      </c>
      <c r="BO19" s="3">
        <f t="shared" si="97"/>
        <v>0</v>
      </c>
      <c r="BP19" s="3">
        <f t="shared" si="98"/>
        <v>0</v>
      </c>
      <c r="BQ19" s="3">
        <f t="shared" si="99"/>
        <v>0</v>
      </c>
      <c r="BR19" s="3">
        <f t="shared" si="100"/>
        <v>0</v>
      </c>
      <c r="BS19" s="3">
        <f t="shared" si="101"/>
        <v>0</v>
      </c>
      <c r="BT19" s="3">
        <f t="shared" si="102"/>
        <v>0</v>
      </c>
      <c r="BU19" s="3">
        <f t="shared" si="103"/>
        <v>0</v>
      </c>
      <c r="BV19" s="3">
        <f t="shared" si="104"/>
        <v>0</v>
      </c>
      <c r="BW19" s="3">
        <f t="shared" si="105"/>
        <v>0</v>
      </c>
      <c r="BX19" s="3">
        <f t="shared" si="106"/>
        <v>0</v>
      </c>
      <c r="BY19" s="3">
        <f t="shared" si="107"/>
        <v>0</v>
      </c>
      <c r="BZ19" s="3">
        <f t="shared" si="108"/>
        <v>0</v>
      </c>
      <c r="CA19" s="3">
        <f t="shared" si="109"/>
        <v>0</v>
      </c>
      <c r="CB19" s="3">
        <f t="shared" si="110"/>
        <v>0</v>
      </c>
      <c r="CC19" s="3">
        <f t="shared" si="111"/>
        <v>0</v>
      </c>
      <c r="CD19" s="3">
        <f t="shared" si="112"/>
        <v>0</v>
      </c>
      <c r="CE19" s="3">
        <f t="shared" si="113"/>
        <v>0</v>
      </c>
      <c r="CF19" s="3">
        <f t="shared" si="114"/>
        <v>0</v>
      </c>
    </row>
    <row r="20" spans="1:94" s="3" customFormat="1" hidden="1" x14ac:dyDescent="0.2">
      <c r="A20" s="70"/>
      <c r="B20" s="64"/>
      <c r="C20" s="70" t="s">
        <v>85</v>
      </c>
      <c r="D20" s="70"/>
      <c r="E20" s="114">
        <f>D39-E39</f>
        <v>0</v>
      </c>
      <c r="F20" s="70">
        <f>D39-F39</f>
        <v>0</v>
      </c>
      <c r="G20" s="93">
        <f t="shared" si="60"/>
        <v>0</v>
      </c>
      <c r="H20" s="97">
        <f t="shared" si="115"/>
        <v>0</v>
      </c>
      <c r="I20" s="70">
        <f t="shared" si="115"/>
        <v>0</v>
      </c>
      <c r="J20" s="93">
        <f t="shared" si="61"/>
        <v>0</v>
      </c>
      <c r="K20" s="97">
        <f t="shared" si="116"/>
        <v>0</v>
      </c>
      <c r="L20" s="70">
        <f t="shared" si="116"/>
        <v>0</v>
      </c>
      <c r="M20" s="93">
        <f t="shared" ref="M20" si="126">L20-K20</f>
        <v>0</v>
      </c>
      <c r="N20" s="97">
        <f t="shared" si="117"/>
        <v>0</v>
      </c>
      <c r="O20" s="70">
        <f t="shared" si="117"/>
        <v>0</v>
      </c>
      <c r="P20" s="93">
        <f t="shared" ref="P20" si="127">O20-N20</f>
        <v>0</v>
      </c>
      <c r="Q20" s="97">
        <f t="shared" si="118"/>
        <v>0</v>
      </c>
      <c r="R20" s="70">
        <f t="shared" si="118"/>
        <v>0</v>
      </c>
      <c r="S20" s="93">
        <f t="shared" ref="S20" si="128">R20-Q20</f>
        <v>0</v>
      </c>
      <c r="T20" s="97">
        <f t="shared" si="119"/>
        <v>0</v>
      </c>
      <c r="U20" s="70">
        <f t="shared" si="119"/>
        <v>0</v>
      </c>
      <c r="V20" s="93">
        <f t="shared" ref="V20" si="129">U20-T20</f>
        <v>0</v>
      </c>
      <c r="W20" s="97">
        <f t="shared" si="120"/>
        <v>0</v>
      </c>
      <c r="X20" s="70">
        <f t="shared" si="120"/>
        <v>0</v>
      </c>
      <c r="Y20" s="93">
        <f t="shared" si="66"/>
        <v>0</v>
      </c>
      <c r="Z20" s="97">
        <f t="shared" si="121"/>
        <v>0</v>
      </c>
      <c r="AA20" s="70">
        <f t="shared" si="121"/>
        <v>0</v>
      </c>
      <c r="AB20" s="93">
        <f t="shared" si="67"/>
        <v>0</v>
      </c>
      <c r="AC20" s="97">
        <f t="shared" si="122"/>
        <v>0</v>
      </c>
      <c r="AD20" s="70">
        <f t="shared" si="122"/>
        <v>0</v>
      </c>
      <c r="AE20" s="93">
        <f t="shared" si="68"/>
        <v>0</v>
      </c>
      <c r="AF20" s="97">
        <f t="shared" si="123"/>
        <v>0</v>
      </c>
      <c r="AG20" s="70">
        <f t="shared" si="123"/>
        <v>0</v>
      </c>
      <c r="AH20" s="93">
        <f t="shared" si="69"/>
        <v>0</v>
      </c>
      <c r="AI20" s="97">
        <f t="shared" si="124"/>
        <v>0</v>
      </c>
      <c r="AJ20" s="70">
        <f t="shared" si="124"/>
        <v>0</v>
      </c>
      <c r="AK20" s="93">
        <f t="shared" si="70"/>
        <v>0</v>
      </c>
      <c r="AL20" s="97">
        <f t="shared" si="125"/>
        <v>0</v>
      </c>
      <c r="AM20" s="63">
        <f t="shared" si="125"/>
        <v>0</v>
      </c>
      <c r="AN20" s="93">
        <f t="shared" si="71"/>
        <v>0</v>
      </c>
      <c r="AO20" s="94">
        <f t="shared" si="73"/>
        <v>0</v>
      </c>
      <c r="AP20" s="95">
        <f t="shared" si="74"/>
        <v>0</v>
      </c>
      <c r="AQ20" s="96">
        <f t="shared" si="75"/>
        <v>0</v>
      </c>
      <c r="AR20" s="6" t="str">
        <f t="shared" si="76"/>
        <v>Ændring langfristet gæld</v>
      </c>
      <c r="AT20" s="9">
        <v>302155</v>
      </c>
      <c r="AU20" s="37">
        <f t="shared" si="77"/>
        <v>0</v>
      </c>
      <c r="AV20" s="9">
        <f t="shared" si="78"/>
        <v>-302155</v>
      </c>
      <c r="AW20" s="3">
        <f t="shared" si="79"/>
        <v>0</v>
      </c>
      <c r="AX20" s="3">
        <f t="shared" si="80"/>
        <v>0</v>
      </c>
      <c r="AY20" s="3">
        <f t="shared" si="81"/>
        <v>0</v>
      </c>
      <c r="AZ20" s="3">
        <f t="shared" si="82"/>
        <v>0</v>
      </c>
      <c r="BA20" s="3">
        <f t="shared" si="83"/>
        <v>0</v>
      </c>
      <c r="BB20" s="3">
        <f t="shared" si="84"/>
        <v>0</v>
      </c>
      <c r="BC20" s="3">
        <f t="shared" si="85"/>
        <v>0</v>
      </c>
      <c r="BD20" s="3">
        <f t="shared" si="86"/>
        <v>0</v>
      </c>
      <c r="BE20" s="3">
        <f t="shared" si="87"/>
        <v>0</v>
      </c>
      <c r="BF20" s="3">
        <f t="shared" si="88"/>
        <v>0</v>
      </c>
      <c r="BG20" s="3">
        <f t="shared" si="89"/>
        <v>0</v>
      </c>
      <c r="BH20" s="3">
        <f t="shared" si="90"/>
        <v>0</v>
      </c>
      <c r="BI20" s="3">
        <f t="shared" si="91"/>
        <v>0</v>
      </c>
      <c r="BJ20" s="3">
        <f t="shared" si="92"/>
        <v>0</v>
      </c>
      <c r="BK20" s="3">
        <f t="shared" si="93"/>
        <v>0</v>
      </c>
      <c r="BL20" s="3">
        <f t="shared" si="94"/>
        <v>0</v>
      </c>
      <c r="BM20" s="3">
        <f t="shared" si="95"/>
        <v>0</v>
      </c>
      <c r="BN20" s="3">
        <f t="shared" si="96"/>
        <v>0</v>
      </c>
      <c r="BO20" s="3">
        <f t="shared" si="97"/>
        <v>0</v>
      </c>
      <c r="BP20" s="3">
        <f t="shared" si="98"/>
        <v>0</v>
      </c>
      <c r="BQ20" s="3">
        <f t="shared" si="99"/>
        <v>0</v>
      </c>
      <c r="BR20" s="3">
        <f t="shared" si="100"/>
        <v>0</v>
      </c>
      <c r="BS20" s="3">
        <f t="shared" si="101"/>
        <v>0</v>
      </c>
      <c r="BT20" s="3">
        <f t="shared" si="102"/>
        <v>0</v>
      </c>
      <c r="BU20" s="3">
        <f t="shared" si="103"/>
        <v>0</v>
      </c>
      <c r="BV20" s="3">
        <f t="shared" si="104"/>
        <v>0</v>
      </c>
      <c r="BW20" s="3">
        <f t="shared" si="105"/>
        <v>0</v>
      </c>
      <c r="BX20" s="3">
        <f t="shared" si="106"/>
        <v>0</v>
      </c>
      <c r="BY20" s="3">
        <f t="shared" si="107"/>
        <v>0</v>
      </c>
      <c r="BZ20" s="3">
        <f t="shared" si="108"/>
        <v>0</v>
      </c>
      <c r="CA20" s="3">
        <f t="shared" si="109"/>
        <v>0</v>
      </c>
      <c r="CB20" s="3">
        <f t="shared" si="110"/>
        <v>0</v>
      </c>
      <c r="CC20" s="3">
        <f t="shared" si="111"/>
        <v>0</v>
      </c>
      <c r="CD20" s="3">
        <f t="shared" si="112"/>
        <v>0</v>
      </c>
      <c r="CE20" s="3">
        <f t="shared" si="113"/>
        <v>0</v>
      </c>
      <c r="CF20" s="3">
        <f t="shared" si="114"/>
        <v>0</v>
      </c>
    </row>
    <row r="21" spans="1:94" s="3" customFormat="1" hidden="1" x14ac:dyDescent="0.2">
      <c r="A21" s="70"/>
      <c r="B21" s="64"/>
      <c r="C21" s="70" t="s">
        <v>86</v>
      </c>
      <c r="D21" s="70"/>
      <c r="E21" s="114">
        <f>D40-E40</f>
        <v>0</v>
      </c>
      <c r="F21" s="70">
        <f>D40-F40</f>
        <v>0</v>
      </c>
      <c r="G21" s="93">
        <f t="shared" si="60"/>
        <v>0</v>
      </c>
      <c r="H21" s="97">
        <f t="shared" si="115"/>
        <v>0</v>
      </c>
      <c r="I21" s="70">
        <f t="shared" si="115"/>
        <v>0</v>
      </c>
      <c r="J21" s="93">
        <f t="shared" si="61"/>
        <v>0</v>
      </c>
      <c r="K21" s="97">
        <f t="shared" si="116"/>
        <v>0</v>
      </c>
      <c r="L21" s="70">
        <f t="shared" si="116"/>
        <v>0</v>
      </c>
      <c r="M21" s="93">
        <f t="shared" si="62"/>
        <v>0</v>
      </c>
      <c r="N21" s="97">
        <f t="shared" si="117"/>
        <v>0</v>
      </c>
      <c r="O21" s="70">
        <f t="shared" si="117"/>
        <v>0</v>
      </c>
      <c r="P21" s="93">
        <f t="shared" si="63"/>
        <v>0</v>
      </c>
      <c r="Q21" s="97">
        <f t="shared" si="118"/>
        <v>0</v>
      </c>
      <c r="R21" s="70">
        <f t="shared" si="118"/>
        <v>0</v>
      </c>
      <c r="S21" s="93">
        <f t="shared" si="64"/>
        <v>0</v>
      </c>
      <c r="T21" s="97">
        <f t="shared" si="119"/>
        <v>0</v>
      </c>
      <c r="U21" s="70">
        <f t="shared" si="119"/>
        <v>0</v>
      </c>
      <c r="V21" s="93">
        <f t="shared" si="65"/>
        <v>0</v>
      </c>
      <c r="W21" s="97">
        <f t="shared" si="120"/>
        <v>0</v>
      </c>
      <c r="X21" s="70">
        <f t="shared" si="120"/>
        <v>0</v>
      </c>
      <c r="Y21" s="93">
        <f t="shared" si="66"/>
        <v>0</v>
      </c>
      <c r="Z21" s="97">
        <f t="shared" si="121"/>
        <v>0</v>
      </c>
      <c r="AA21" s="70">
        <f t="shared" si="121"/>
        <v>0</v>
      </c>
      <c r="AB21" s="93">
        <f t="shared" si="67"/>
        <v>0</v>
      </c>
      <c r="AC21" s="97">
        <f t="shared" si="122"/>
        <v>0</v>
      </c>
      <c r="AD21" s="70">
        <f t="shared" si="122"/>
        <v>0</v>
      </c>
      <c r="AE21" s="93">
        <f t="shared" si="68"/>
        <v>0</v>
      </c>
      <c r="AF21" s="97">
        <f t="shared" si="123"/>
        <v>0</v>
      </c>
      <c r="AG21" s="70">
        <f t="shared" si="123"/>
        <v>0</v>
      </c>
      <c r="AH21" s="93">
        <f t="shared" si="69"/>
        <v>0</v>
      </c>
      <c r="AI21" s="97">
        <f t="shared" si="124"/>
        <v>0</v>
      </c>
      <c r="AJ21" s="70">
        <f t="shared" si="124"/>
        <v>0</v>
      </c>
      <c r="AK21" s="93">
        <f t="shared" si="70"/>
        <v>0</v>
      </c>
      <c r="AL21" s="97">
        <f t="shared" si="125"/>
        <v>0</v>
      </c>
      <c r="AM21" s="63">
        <f t="shared" si="125"/>
        <v>0</v>
      </c>
      <c r="AN21" s="93">
        <f t="shared" si="71"/>
        <v>0</v>
      </c>
      <c r="AO21" s="94">
        <f t="shared" si="73"/>
        <v>0</v>
      </c>
      <c r="AP21" s="95">
        <f t="shared" si="74"/>
        <v>0</v>
      </c>
      <c r="AQ21" s="96">
        <f t="shared" si="75"/>
        <v>0</v>
      </c>
      <c r="AR21" s="6" t="str">
        <f t="shared" si="76"/>
        <v>Ændring kortfristet gæld</v>
      </c>
      <c r="AT21" s="9">
        <v>99334</v>
      </c>
      <c r="AU21" s="37">
        <f t="shared" si="77"/>
        <v>0</v>
      </c>
      <c r="AV21" s="9">
        <f t="shared" si="78"/>
        <v>-99334</v>
      </c>
      <c r="AW21" s="3">
        <f t="shared" si="79"/>
        <v>0</v>
      </c>
      <c r="AX21" s="3">
        <f t="shared" si="80"/>
        <v>0</v>
      </c>
      <c r="AY21" s="3">
        <f t="shared" si="81"/>
        <v>0</v>
      </c>
      <c r="AZ21" s="3">
        <f t="shared" si="82"/>
        <v>0</v>
      </c>
      <c r="BA21" s="3">
        <f t="shared" si="83"/>
        <v>0</v>
      </c>
      <c r="BB21" s="3">
        <f t="shared" si="84"/>
        <v>0</v>
      </c>
      <c r="BC21" s="3">
        <f t="shared" si="85"/>
        <v>0</v>
      </c>
      <c r="BD21" s="3">
        <f t="shared" si="86"/>
        <v>0</v>
      </c>
      <c r="BE21" s="3">
        <f t="shared" si="87"/>
        <v>0</v>
      </c>
      <c r="BF21" s="3">
        <f t="shared" si="88"/>
        <v>0</v>
      </c>
      <c r="BG21" s="3">
        <f t="shared" si="89"/>
        <v>0</v>
      </c>
      <c r="BH21" s="3">
        <f t="shared" si="90"/>
        <v>0</v>
      </c>
      <c r="BI21" s="3">
        <f t="shared" si="91"/>
        <v>0</v>
      </c>
      <c r="BJ21" s="3">
        <f t="shared" si="92"/>
        <v>0</v>
      </c>
      <c r="BK21" s="3">
        <f t="shared" si="93"/>
        <v>0</v>
      </c>
      <c r="BL21" s="3">
        <f t="shared" si="94"/>
        <v>0</v>
      </c>
      <c r="BM21" s="3">
        <f t="shared" si="95"/>
        <v>0</v>
      </c>
      <c r="BN21" s="3">
        <f t="shared" si="96"/>
        <v>0</v>
      </c>
      <c r="BO21" s="3">
        <f t="shared" si="97"/>
        <v>0</v>
      </c>
      <c r="BP21" s="3">
        <f t="shared" si="98"/>
        <v>0</v>
      </c>
      <c r="BQ21" s="3">
        <f t="shared" si="99"/>
        <v>0</v>
      </c>
      <c r="BR21" s="3">
        <f t="shared" si="100"/>
        <v>0</v>
      </c>
      <c r="BS21" s="3">
        <f t="shared" si="101"/>
        <v>0</v>
      </c>
      <c r="BT21" s="3">
        <f t="shared" si="102"/>
        <v>0</v>
      </c>
      <c r="BU21" s="3">
        <f t="shared" si="103"/>
        <v>0</v>
      </c>
      <c r="BV21" s="3">
        <f t="shared" si="104"/>
        <v>0</v>
      </c>
      <c r="BW21" s="3">
        <f t="shared" si="105"/>
        <v>0</v>
      </c>
      <c r="BX21" s="3">
        <f t="shared" si="106"/>
        <v>0</v>
      </c>
      <c r="BY21" s="3">
        <f t="shared" si="107"/>
        <v>0</v>
      </c>
      <c r="BZ21" s="3">
        <f t="shared" si="108"/>
        <v>0</v>
      </c>
      <c r="CA21" s="3">
        <f t="shared" si="109"/>
        <v>0</v>
      </c>
      <c r="CB21" s="3">
        <f t="shared" si="110"/>
        <v>0</v>
      </c>
      <c r="CC21" s="3">
        <f t="shared" si="111"/>
        <v>0</v>
      </c>
      <c r="CD21" s="3">
        <f t="shared" si="112"/>
        <v>0</v>
      </c>
      <c r="CE21" s="3">
        <f t="shared" si="113"/>
        <v>0</v>
      </c>
      <c r="CF21" s="3">
        <f t="shared" si="114"/>
        <v>0</v>
      </c>
    </row>
    <row r="22" spans="1:94" s="3" customFormat="1" hidden="1" x14ac:dyDescent="0.2">
      <c r="A22" s="70"/>
      <c r="B22" s="64"/>
      <c r="C22" s="70" t="s">
        <v>87</v>
      </c>
      <c r="D22" s="70"/>
      <c r="E22" s="114">
        <f>D41-E41</f>
        <v>0</v>
      </c>
      <c r="F22" s="70">
        <f>D41-F41</f>
        <v>0</v>
      </c>
      <c r="G22" s="93">
        <f t="shared" si="60"/>
        <v>0</v>
      </c>
      <c r="H22" s="97">
        <f t="shared" si="115"/>
        <v>0</v>
      </c>
      <c r="I22" s="70">
        <f t="shared" si="115"/>
        <v>0</v>
      </c>
      <c r="J22" s="93">
        <f t="shared" si="61"/>
        <v>0</v>
      </c>
      <c r="K22" s="97">
        <f t="shared" si="116"/>
        <v>0</v>
      </c>
      <c r="L22" s="70">
        <f t="shared" si="116"/>
        <v>0</v>
      </c>
      <c r="M22" s="93">
        <f t="shared" si="62"/>
        <v>0</v>
      </c>
      <c r="N22" s="97">
        <f t="shared" si="117"/>
        <v>0</v>
      </c>
      <c r="O22" s="70">
        <f t="shared" si="117"/>
        <v>0</v>
      </c>
      <c r="P22" s="93">
        <f t="shared" si="63"/>
        <v>0</v>
      </c>
      <c r="Q22" s="97">
        <f t="shared" si="118"/>
        <v>0</v>
      </c>
      <c r="R22" s="70">
        <f t="shared" si="118"/>
        <v>0</v>
      </c>
      <c r="S22" s="93">
        <f t="shared" si="64"/>
        <v>0</v>
      </c>
      <c r="T22" s="97">
        <f t="shared" si="119"/>
        <v>0</v>
      </c>
      <c r="U22" s="70">
        <f t="shared" si="119"/>
        <v>0</v>
      </c>
      <c r="V22" s="93">
        <f t="shared" si="65"/>
        <v>0</v>
      </c>
      <c r="W22" s="97">
        <f t="shared" si="120"/>
        <v>0</v>
      </c>
      <c r="X22" s="70">
        <f t="shared" si="120"/>
        <v>0</v>
      </c>
      <c r="Y22" s="93">
        <f t="shared" si="66"/>
        <v>0</v>
      </c>
      <c r="Z22" s="97">
        <f t="shared" si="121"/>
        <v>0</v>
      </c>
      <c r="AA22" s="70">
        <f t="shared" si="121"/>
        <v>0</v>
      </c>
      <c r="AB22" s="93">
        <f t="shared" si="67"/>
        <v>0</v>
      </c>
      <c r="AC22" s="97">
        <f t="shared" si="122"/>
        <v>0</v>
      </c>
      <c r="AD22" s="70">
        <f t="shared" si="122"/>
        <v>0</v>
      </c>
      <c r="AE22" s="93">
        <f t="shared" si="68"/>
        <v>0</v>
      </c>
      <c r="AF22" s="97">
        <f t="shared" si="123"/>
        <v>0</v>
      </c>
      <c r="AG22" s="70">
        <f t="shared" si="123"/>
        <v>0</v>
      </c>
      <c r="AH22" s="93">
        <f t="shared" si="69"/>
        <v>0</v>
      </c>
      <c r="AI22" s="97">
        <f t="shared" si="124"/>
        <v>0</v>
      </c>
      <c r="AJ22" s="70">
        <f t="shared" si="124"/>
        <v>0</v>
      </c>
      <c r="AK22" s="93">
        <f t="shared" si="70"/>
        <v>0</v>
      </c>
      <c r="AL22" s="97">
        <f t="shared" si="125"/>
        <v>0</v>
      </c>
      <c r="AM22" s="63">
        <f t="shared" si="125"/>
        <v>0</v>
      </c>
      <c r="AN22" s="93">
        <f t="shared" si="71"/>
        <v>0</v>
      </c>
      <c r="AO22" s="94">
        <f t="shared" si="73"/>
        <v>0</v>
      </c>
      <c r="AP22" s="95">
        <f t="shared" si="74"/>
        <v>0</v>
      </c>
      <c r="AQ22" s="96">
        <f t="shared" si="75"/>
        <v>0</v>
      </c>
      <c r="AR22" s="6" t="str">
        <f t="shared" si="76"/>
        <v>Ændring skyldig moms</v>
      </c>
      <c r="AT22" s="9">
        <v>4554</v>
      </c>
      <c r="AU22" s="37">
        <f>INDEX(AW22:BH22,1,$I$1)</f>
        <v>0</v>
      </c>
      <c r="AV22" s="9">
        <f t="shared" si="78"/>
        <v>-4554</v>
      </c>
      <c r="AW22" s="3">
        <f t="shared" si="79"/>
        <v>0</v>
      </c>
      <c r="AX22" s="3">
        <f t="shared" si="80"/>
        <v>0</v>
      </c>
      <c r="AY22" s="3">
        <f t="shared" si="81"/>
        <v>0</v>
      </c>
      <c r="AZ22" s="3">
        <f t="shared" si="82"/>
        <v>0</v>
      </c>
      <c r="BA22" s="3">
        <f t="shared" si="83"/>
        <v>0</v>
      </c>
      <c r="BB22" s="3">
        <f t="shared" si="84"/>
        <v>0</v>
      </c>
      <c r="BC22" s="3">
        <f t="shared" si="85"/>
        <v>0</v>
      </c>
      <c r="BD22" s="3">
        <f t="shared" si="86"/>
        <v>0</v>
      </c>
      <c r="BE22" s="3">
        <f t="shared" si="87"/>
        <v>0</v>
      </c>
      <c r="BF22" s="3">
        <f>AL22+AI22+AG22+AD22+AA22+X22+U22+R22+O22+L22+I22+F22</f>
        <v>0</v>
      </c>
      <c r="BG22" s="3">
        <f t="shared" si="89"/>
        <v>0</v>
      </c>
      <c r="BH22" s="3">
        <f t="shared" si="90"/>
        <v>0</v>
      </c>
      <c r="BI22" s="3">
        <f t="shared" si="91"/>
        <v>0</v>
      </c>
      <c r="BJ22" s="3">
        <f t="shared" si="92"/>
        <v>0</v>
      </c>
      <c r="BK22" s="3">
        <f t="shared" si="93"/>
        <v>0</v>
      </c>
      <c r="BL22" s="3">
        <f t="shared" si="94"/>
        <v>0</v>
      </c>
      <c r="BM22" s="3">
        <f t="shared" si="95"/>
        <v>0</v>
      </c>
      <c r="BN22" s="3">
        <f t="shared" si="96"/>
        <v>0</v>
      </c>
      <c r="BO22" s="3">
        <f t="shared" si="97"/>
        <v>0</v>
      </c>
      <c r="BP22" s="3">
        <f t="shared" si="98"/>
        <v>0</v>
      </c>
      <c r="BQ22" s="3">
        <f t="shared" si="99"/>
        <v>0</v>
      </c>
      <c r="BR22" s="3">
        <f t="shared" si="100"/>
        <v>0</v>
      </c>
      <c r="BS22" s="3">
        <f t="shared" si="101"/>
        <v>0</v>
      </c>
      <c r="BT22" s="3">
        <f t="shared" si="102"/>
        <v>0</v>
      </c>
      <c r="BU22" s="3">
        <f t="shared" si="103"/>
        <v>0</v>
      </c>
      <c r="BV22" s="3">
        <f t="shared" si="104"/>
        <v>0</v>
      </c>
      <c r="BW22" s="3">
        <f t="shared" si="105"/>
        <v>0</v>
      </c>
      <c r="BX22" s="3">
        <f t="shared" si="106"/>
        <v>0</v>
      </c>
      <c r="BY22" s="3">
        <f t="shared" si="107"/>
        <v>0</v>
      </c>
      <c r="BZ22" s="3">
        <f t="shared" si="108"/>
        <v>0</v>
      </c>
      <c r="CA22" s="3">
        <f t="shared" si="109"/>
        <v>0</v>
      </c>
      <c r="CB22" s="3">
        <f t="shared" si="110"/>
        <v>0</v>
      </c>
      <c r="CC22" s="3">
        <f t="shared" si="111"/>
        <v>0</v>
      </c>
      <c r="CD22" s="3">
        <f t="shared" si="112"/>
        <v>0</v>
      </c>
      <c r="CE22" s="3">
        <f t="shared" si="113"/>
        <v>0</v>
      </c>
      <c r="CF22" s="3">
        <f t="shared" si="114"/>
        <v>0</v>
      </c>
    </row>
    <row r="23" spans="1:94" s="3" customFormat="1" hidden="1" x14ac:dyDescent="0.2">
      <c r="A23" s="70"/>
      <c r="B23" s="64"/>
      <c r="C23" s="70" t="s">
        <v>88</v>
      </c>
      <c r="D23" s="70"/>
      <c r="E23" s="114">
        <f>D42-E42</f>
        <v>0</v>
      </c>
      <c r="F23" s="70">
        <f>F42-D42</f>
        <v>0</v>
      </c>
      <c r="G23" s="93">
        <f t="shared" si="60"/>
        <v>0</v>
      </c>
      <c r="H23" s="97">
        <f>E42-H42</f>
        <v>0</v>
      </c>
      <c r="I23" s="70">
        <f>I42-F42</f>
        <v>0</v>
      </c>
      <c r="J23" s="93">
        <f t="shared" si="61"/>
        <v>0</v>
      </c>
      <c r="K23" s="97">
        <f>H42-K42</f>
        <v>0</v>
      </c>
      <c r="L23" s="70">
        <f>L42-I42</f>
        <v>0</v>
      </c>
      <c r="M23" s="93">
        <f t="shared" si="62"/>
        <v>0</v>
      </c>
      <c r="N23" s="97">
        <f>K42-N42</f>
        <v>0</v>
      </c>
      <c r="O23" s="70">
        <f>O42-L42</f>
        <v>0</v>
      </c>
      <c r="P23" s="93">
        <f t="shared" si="63"/>
        <v>0</v>
      </c>
      <c r="Q23" s="97">
        <f>N42-Q42</f>
        <v>0</v>
      </c>
      <c r="R23" s="70">
        <f>-R42+O42</f>
        <v>0</v>
      </c>
      <c r="S23" s="93">
        <f t="shared" si="64"/>
        <v>0</v>
      </c>
      <c r="T23" s="97">
        <f>Q42-T42</f>
        <v>0</v>
      </c>
      <c r="U23" s="70">
        <f>-U42+R42</f>
        <v>0</v>
      </c>
      <c r="V23" s="93">
        <f t="shared" si="65"/>
        <v>0</v>
      </c>
      <c r="W23" s="97">
        <f>T42-W42</f>
        <v>0</v>
      </c>
      <c r="X23" s="70">
        <f>-X42+U42</f>
        <v>0</v>
      </c>
      <c r="Y23" s="93">
        <f t="shared" si="66"/>
        <v>0</v>
      </c>
      <c r="Z23" s="97">
        <f>W42-Z42</f>
        <v>0</v>
      </c>
      <c r="AA23" s="70">
        <f>-AA42+X42</f>
        <v>0</v>
      </c>
      <c r="AB23" s="93">
        <f t="shared" si="67"/>
        <v>0</v>
      </c>
      <c r="AC23" s="97">
        <f>Z42-AC42</f>
        <v>0</v>
      </c>
      <c r="AD23" s="70">
        <f>-AD42+AA42</f>
        <v>0</v>
      </c>
      <c r="AE23" s="93">
        <f t="shared" si="68"/>
        <v>0</v>
      </c>
      <c r="AF23" s="97">
        <f>AC42-AF42</f>
        <v>0</v>
      </c>
      <c r="AG23" s="70">
        <f>-AG42+AD42</f>
        <v>0</v>
      </c>
      <c r="AH23" s="93">
        <f t="shared" si="69"/>
        <v>0</v>
      </c>
      <c r="AI23" s="97">
        <f>AF42-AI42</f>
        <v>0</v>
      </c>
      <c r="AJ23" s="70">
        <f>-AJ42+AG42</f>
        <v>0</v>
      </c>
      <c r="AK23" s="93">
        <f t="shared" si="70"/>
        <v>0</v>
      </c>
      <c r="AL23" s="97">
        <f>AI42-AL42</f>
        <v>0</v>
      </c>
      <c r="AM23" s="63">
        <f>-AM42+AJ42</f>
        <v>0</v>
      </c>
      <c r="AN23" s="93">
        <f t="shared" si="71"/>
        <v>0</v>
      </c>
      <c r="AO23" s="94">
        <f t="shared" si="73"/>
        <v>0</v>
      </c>
      <c r="AP23" s="95">
        <f t="shared" si="74"/>
        <v>0</v>
      </c>
      <c r="AQ23" s="96">
        <f t="shared" si="75"/>
        <v>0</v>
      </c>
      <c r="AR23" s="6" t="str">
        <f t="shared" si="76"/>
        <v>Ændring skyldige lønomkostninger</v>
      </c>
      <c r="AT23" s="9">
        <f>BT23</f>
        <v>0</v>
      </c>
      <c r="AU23" s="37">
        <f t="shared" si="77"/>
        <v>0</v>
      </c>
      <c r="AV23" s="9">
        <f t="shared" si="78"/>
        <v>0</v>
      </c>
      <c r="AW23" s="3">
        <f t="shared" si="79"/>
        <v>0</v>
      </c>
      <c r="AX23" s="3">
        <f t="shared" si="80"/>
        <v>0</v>
      </c>
      <c r="AY23" s="3">
        <f t="shared" si="81"/>
        <v>0</v>
      </c>
      <c r="AZ23" s="3">
        <f t="shared" si="82"/>
        <v>0</v>
      </c>
      <c r="BA23" s="3">
        <f t="shared" si="83"/>
        <v>0</v>
      </c>
      <c r="BB23" s="3">
        <f t="shared" si="84"/>
        <v>0</v>
      </c>
      <c r="BC23" s="3">
        <f t="shared" si="85"/>
        <v>0</v>
      </c>
      <c r="BD23" s="3">
        <f t="shared" si="86"/>
        <v>0</v>
      </c>
      <c r="BE23" s="3">
        <f t="shared" si="87"/>
        <v>0</v>
      </c>
      <c r="BF23" s="3">
        <f t="shared" si="88"/>
        <v>0</v>
      </c>
      <c r="BG23" s="3">
        <f t="shared" si="89"/>
        <v>0</v>
      </c>
      <c r="BH23" s="3">
        <f t="shared" si="90"/>
        <v>0</v>
      </c>
      <c r="BI23" s="3">
        <f t="shared" si="91"/>
        <v>0</v>
      </c>
      <c r="BJ23" s="3">
        <f t="shared" si="92"/>
        <v>0</v>
      </c>
      <c r="BK23" s="3">
        <f t="shared" si="93"/>
        <v>0</v>
      </c>
      <c r="BL23" s="3">
        <f t="shared" si="94"/>
        <v>0</v>
      </c>
      <c r="BM23" s="3">
        <f t="shared" si="95"/>
        <v>0</v>
      </c>
      <c r="BN23" s="3">
        <f t="shared" si="96"/>
        <v>0</v>
      </c>
      <c r="BO23" s="3">
        <f t="shared" si="97"/>
        <v>0</v>
      </c>
      <c r="BP23" s="3">
        <f t="shared" si="98"/>
        <v>0</v>
      </c>
      <c r="BQ23" s="3">
        <f t="shared" si="99"/>
        <v>0</v>
      </c>
      <c r="BR23" s="3">
        <f t="shared" si="100"/>
        <v>0</v>
      </c>
      <c r="BS23" s="3">
        <f t="shared" si="101"/>
        <v>0</v>
      </c>
      <c r="BT23" s="3">
        <f t="shared" si="102"/>
        <v>0</v>
      </c>
      <c r="BU23" s="3">
        <f t="shared" si="103"/>
        <v>0</v>
      </c>
      <c r="BV23" s="3">
        <f t="shared" si="104"/>
        <v>0</v>
      </c>
      <c r="BW23" s="3">
        <f t="shared" si="105"/>
        <v>0</v>
      </c>
      <c r="BX23" s="3">
        <f t="shared" si="106"/>
        <v>0</v>
      </c>
      <c r="BY23" s="3">
        <f t="shared" si="107"/>
        <v>0</v>
      </c>
      <c r="BZ23" s="3">
        <f t="shared" si="108"/>
        <v>0</v>
      </c>
      <c r="CA23" s="3">
        <f t="shared" si="109"/>
        <v>0</v>
      </c>
      <c r="CB23" s="3">
        <f t="shared" si="110"/>
        <v>0</v>
      </c>
      <c r="CC23" s="3">
        <f t="shared" si="111"/>
        <v>0</v>
      </c>
      <c r="CD23" s="3">
        <f t="shared" si="112"/>
        <v>0</v>
      </c>
      <c r="CE23" s="3">
        <f t="shared" si="113"/>
        <v>0</v>
      </c>
      <c r="CF23" s="3">
        <f t="shared" si="114"/>
        <v>0</v>
      </c>
    </row>
    <row r="24" spans="1:94" s="3" customFormat="1" hidden="1" x14ac:dyDescent="0.2">
      <c r="A24" s="70"/>
      <c r="B24" s="64"/>
      <c r="C24" s="70"/>
      <c r="D24" s="70"/>
      <c r="E24" s="114"/>
      <c r="F24" s="70"/>
      <c r="G24" s="93"/>
      <c r="H24" s="97"/>
      <c r="I24" s="70"/>
      <c r="J24" s="93">
        <f t="shared" si="61"/>
        <v>0</v>
      </c>
      <c r="K24" s="97"/>
      <c r="L24" s="70"/>
      <c r="M24" s="93"/>
      <c r="N24" s="97"/>
      <c r="O24" s="70"/>
      <c r="P24" s="93"/>
      <c r="Q24" s="97"/>
      <c r="R24" s="70"/>
      <c r="S24" s="93"/>
      <c r="T24" s="97"/>
      <c r="U24" s="70"/>
      <c r="V24" s="93"/>
      <c r="W24" s="97"/>
      <c r="X24" s="70"/>
      <c r="Y24" s="93">
        <f t="shared" si="66"/>
        <v>0</v>
      </c>
      <c r="Z24" s="97"/>
      <c r="AA24" s="70"/>
      <c r="AB24" s="93">
        <f t="shared" si="67"/>
        <v>0</v>
      </c>
      <c r="AC24" s="97"/>
      <c r="AD24" s="70"/>
      <c r="AE24" s="93">
        <f t="shared" si="68"/>
        <v>0</v>
      </c>
      <c r="AF24" s="97"/>
      <c r="AG24" s="70"/>
      <c r="AH24" s="93">
        <f t="shared" si="69"/>
        <v>0</v>
      </c>
      <c r="AI24" s="97"/>
      <c r="AJ24" s="70"/>
      <c r="AK24" s="93">
        <f t="shared" si="70"/>
        <v>0</v>
      </c>
      <c r="AL24" s="97"/>
      <c r="AM24" s="63"/>
      <c r="AN24" s="93">
        <f t="shared" si="71"/>
        <v>0</v>
      </c>
      <c r="AO24" s="112">
        <f t="shared" si="72"/>
        <v>0</v>
      </c>
      <c r="AP24" s="115">
        <f t="shared" si="72"/>
        <v>0</v>
      </c>
      <c r="AQ24" s="96">
        <f t="shared" si="75"/>
        <v>0</v>
      </c>
      <c r="AR24" s="6">
        <f t="shared" si="76"/>
        <v>0</v>
      </c>
      <c r="AT24" s="9">
        <v>0</v>
      </c>
      <c r="AU24" s="37">
        <f t="shared" si="77"/>
        <v>0</v>
      </c>
      <c r="AV24" s="9">
        <f t="shared" si="78"/>
        <v>0</v>
      </c>
      <c r="AW24" s="3">
        <f t="shared" si="79"/>
        <v>0</v>
      </c>
      <c r="AX24" s="3">
        <f t="shared" si="80"/>
        <v>0</v>
      </c>
      <c r="AY24" s="3">
        <f t="shared" si="81"/>
        <v>0</v>
      </c>
      <c r="AZ24" s="3">
        <f t="shared" si="82"/>
        <v>0</v>
      </c>
      <c r="BA24" s="3">
        <f t="shared" si="83"/>
        <v>0</v>
      </c>
      <c r="BB24" s="3">
        <f t="shared" si="84"/>
        <v>0</v>
      </c>
      <c r="BC24" s="3">
        <f t="shared" si="85"/>
        <v>0</v>
      </c>
      <c r="BD24" s="3">
        <f t="shared" si="86"/>
        <v>0</v>
      </c>
      <c r="BE24" s="3">
        <f t="shared" si="87"/>
        <v>0</v>
      </c>
      <c r="BF24" s="3">
        <f t="shared" si="88"/>
        <v>0</v>
      </c>
      <c r="BG24" s="3">
        <f t="shared" si="89"/>
        <v>0</v>
      </c>
      <c r="BH24" s="3">
        <f t="shared" si="90"/>
        <v>0</v>
      </c>
    </row>
    <row r="25" spans="1:94" s="3" customFormat="1" hidden="1" x14ac:dyDescent="0.2">
      <c r="A25" s="70"/>
      <c r="B25" s="116"/>
      <c r="C25" s="70" t="s">
        <v>6</v>
      </c>
      <c r="D25" s="70"/>
      <c r="E25" s="114">
        <f>SUM(E15:E24)</f>
        <v>0</v>
      </c>
      <c r="F25" s="70">
        <f>SUM(F15:F24)</f>
        <v>0</v>
      </c>
      <c r="G25" s="93">
        <f t="shared" si="60"/>
        <v>0</v>
      </c>
      <c r="H25" s="97">
        <f>SUM(H15:H24)</f>
        <v>0</v>
      </c>
      <c r="I25" s="70">
        <f>SUM(I15:I24)</f>
        <v>0</v>
      </c>
      <c r="J25" s="93">
        <f t="shared" si="61"/>
        <v>0</v>
      </c>
      <c r="K25" s="97">
        <f>SUM(K15:K24)</f>
        <v>0</v>
      </c>
      <c r="L25" s="70">
        <f>SUM(L15:L24)</f>
        <v>0</v>
      </c>
      <c r="M25" s="93">
        <f t="shared" ref="M25:M26" si="130">L25-K25</f>
        <v>0</v>
      </c>
      <c r="N25" s="97">
        <f>SUM(N15:N24)</f>
        <v>0</v>
      </c>
      <c r="O25" s="70">
        <f>SUM(O15:O24)</f>
        <v>0</v>
      </c>
      <c r="P25" s="93">
        <f t="shared" ref="P25:P26" si="131">O25-N25</f>
        <v>0</v>
      </c>
      <c r="Q25" s="97">
        <f>SUM(Q15:Q24)</f>
        <v>0</v>
      </c>
      <c r="R25" s="70">
        <f>SUM(R15:R24)</f>
        <v>0</v>
      </c>
      <c r="S25" s="93">
        <f t="shared" ref="S25:S26" si="132">R25-Q25</f>
        <v>0</v>
      </c>
      <c r="T25" s="97">
        <f>SUM(T15:T24)</f>
        <v>0</v>
      </c>
      <c r="U25" s="70">
        <f>SUM(U15:U24)</f>
        <v>0</v>
      </c>
      <c r="V25" s="93">
        <f t="shared" ref="V25:V26" si="133">U25-T25</f>
        <v>0</v>
      </c>
      <c r="W25" s="97">
        <f>SUM(W15:W24)</f>
        <v>0</v>
      </c>
      <c r="X25" s="70">
        <f>SUM(X15:X24)</f>
        <v>0</v>
      </c>
      <c r="Y25" s="93">
        <f t="shared" si="66"/>
        <v>0</v>
      </c>
      <c r="Z25" s="97">
        <f>SUM(Z15:Z24)</f>
        <v>0</v>
      </c>
      <c r="AA25" s="70">
        <f>SUM(AA15:AA24)</f>
        <v>0</v>
      </c>
      <c r="AB25" s="93">
        <f t="shared" si="67"/>
        <v>0</v>
      </c>
      <c r="AC25" s="97">
        <f>SUM(AC15:AC24)</f>
        <v>0</v>
      </c>
      <c r="AD25" s="70">
        <f>SUM(AD15:AD24)</f>
        <v>0</v>
      </c>
      <c r="AE25" s="93">
        <f t="shared" si="68"/>
        <v>0</v>
      </c>
      <c r="AF25" s="97">
        <f>SUM(AF15:AF24)</f>
        <v>0</v>
      </c>
      <c r="AG25" s="70">
        <f>SUM(AG15:AG24)</f>
        <v>0</v>
      </c>
      <c r="AH25" s="93">
        <f t="shared" si="69"/>
        <v>0</v>
      </c>
      <c r="AI25" s="97">
        <f>SUM(AI15:AI24)</f>
        <v>0</v>
      </c>
      <c r="AJ25" s="70">
        <f>SUM(AJ15:AJ24)</f>
        <v>0</v>
      </c>
      <c r="AK25" s="93">
        <f t="shared" si="70"/>
        <v>0</v>
      </c>
      <c r="AL25" s="97">
        <f>SUM(AL15:AL24)</f>
        <v>0</v>
      </c>
      <c r="AM25" s="63">
        <f>SUM(AM15:AM24)</f>
        <v>0</v>
      </c>
      <c r="AN25" s="93">
        <f t="shared" si="71"/>
        <v>0</v>
      </c>
      <c r="AO25" s="94">
        <f>SUM(AO15:AO24)</f>
        <v>0</v>
      </c>
      <c r="AP25" s="95">
        <f>SUM(AP15:AP24)</f>
        <v>0</v>
      </c>
      <c r="AQ25" s="96">
        <f>AP25-AO25</f>
        <v>0</v>
      </c>
      <c r="AR25" s="6" t="s">
        <v>23</v>
      </c>
      <c r="AT25" s="9">
        <f>SUM(AT15:AT24)</f>
        <v>165140</v>
      </c>
      <c r="AU25" s="37">
        <f>SUM(AU15:AU24)</f>
        <v>0</v>
      </c>
      <c r="AV25" s="9">
        <f>AU25-AT25</f>
        <v>-165140</v>
      </c>
      <c r="AW25" s="3">
        <f t="shared" si="79"/>
        <v>0</v>
      </c>
      <c r="AX25" s="3">
        <f t="shared" si="80"/>
        <v>0</v>
      </c>
      <c r="AY25" s="3">
        <f t="shared" si="81"/>
        <v>0</v>
      </c>
      <c r="AZ25" s="3">
        <f t="shared" si="82"/>
        <v>0</v>
      </c>
      <c r="BA25" s="3">
        <f t="shared" si="83"/>
        <v>0</v>
      </c>
      <c r="BB25" s="3">
        <f t="shared" si="84"/>
        <v>0</v>
      </c>
      <c r="BC25" s="3">
        <f t="shared" si="85"/>
        <v>0</v>
      </c>
      <c r="BD25" s="3">
        <f t="shared" si="86"/>
        <v>0</v>
      </c>
      <c r="BE25" s="3">
        <f t="shared" si="87"/>
        <v>0</v>
      </c>
      <c r="BF25" s="3">
        <f t="shared" si="88"/>
        <v>0</v>
      </c>
      <c r="BG25" s="3">
        <f t="shared" si="89"/>
        <v>0</v>
      </c>
      <c r="BH25" s="3">
        <f t="shared" si="90"/>
        <v>0</v>
      </c>
    </row>
    <row r="26" spans="1:94" s="3" customFormat="1" hidden="1" x14ac:dyDescent="0.2">
      <c r="A26" s="70"/>
      <c r="B26" s="70"/>
      <c r="C26" s="70" t="s">
        <v>5</v>
      </c>
      <c r="D26" s="70"/>
      <c r="E26" s="114">
        <f>IF($F$1=3,E53,E52)</f>
        <v>0</v>
      </c>
      <c r="F26" s="70">
        <f>D28+F25</f>
        <v>0</v>
      </c>
      <c r="G26" s="93">
        <f t="shared" si="60"/>
        <v>0</v>
      </c>
      <c r="H26" s="97">
        <f>IF($F$1=3,H53,H52)</f>
        <v>0</v>
      </c>
      <c r="I26" s="70">
        <f>F28+I25</f>
        <v>0</v>
      </c>
      <c r="J26" s="93">
        <f t="shared" si="61"/>
        <v>0</v>
      </c>
      <c r="K26" s="97">
        <f>IF($F$1=3,K53,K52)</f>
        <v>0</v>
      </c>
      <c r="L26" s="70">
        <f>I28+L25</f>
        <v>0</v>
      </c>
      <c r="M26" s="93">
        <f t="shared" si="130"/>
        <v>0</v>
      </c>
      <c r="N26" s="97">
        <f>IF($F$1=3,N53,N52)</f>
        <v>0</v>
      </c>
      <c r="O26" s="70">
        <f>L28+O25</f>
        <v>0</v>
      </c>
      <c r="P26" s="93">
        <f t="shared" si="131"/>
        <v>0</v>
      </c>
      <c r="Q26" s="97">
        <f>IF($F$1=3,Q53,Q52)</f>
        <v>0</v>
      </c>
      <c r="R26" s="70">
        <f>O28+R25</f>
        <v>0</v>
      </c>
      <c r="S26" s="93">
        <f t="shared" si="132"/>
        <v>0</v>
      </c>
      <c r="T26" s="97">
        <f>IF($F$1=3,T53,T52)</f>
        <v>0</v>
      </c>
      <c r="U26" s="70">
        <f>R28+U25</f>
        <v>0</v>
      </c>
      <c r="V26" s="93">
        <f t="shared" si="133"/>
        <v>0</v>
      </c>
      <c r="W26" s="97">
        <f>IF($F$1=3,W53,W52)</f>
        <v>0</v>
      </c>
      <c r="X26" s="70">
        <f>U28+X25</f>
        <v>0</v>
      </c>
      <c r="Y26" s="93">
        <f t="shared" si="66"/>
        <v>0</v>
      </c>
      <c r="Z26" s="97">
        <f>IF($F$1=3,Z53,Z52)</f>
        <v>0</v>
      </c>
      <c r="AA26" s="70">
        <f>X28+AA25</f>
        <v>0</v>
      </c>
      <c r="AB26" s="93">
        <f t="shared" si="67"/>
        <v>0</v>
      </c>
      <c r="AC26" s="97">
        <f>IF($F$1=3,AC53,AC52)</f>
        <v>0</v>
      </c>
      <c r="AD26" s="70">
        <f>AA28+AD25</f>
        <v>0</v>
      </c>
      <c r="AE26" s="93">
        <f t="shared" si="68"/>
        <v>0</v>
      </c>
      <c r="AF26" s="97">
        <f>IF($F$1=3,AF53,AF52)</f>
        <v>0</v>
      </c>
      <c r="AG26" s="70">
        <f>AD28+AG25</f>
        <v>0</v>
      </c>
      <c r="AH26" s="93">
        <f t="shared" si="69"/>
        <v>0</v>
      </c>
      <c r="AI26" s="97">
        <f>IF($F$1=3,AI53,AI52)</f>
        <v>0</v>
      </c>
      <c r="AJ26" s="70">
        <f>AG28+AJ25</f>
        <v>0</v>
      </c>
      <c r="AK26" s="93">
        <f t="shared" si="70"/>
        <v>0</v>
      </c>
      <c r="AL26" s="97">
        <f>IF($F$1=3,AL53,AL52)</f>
        <v>0</v>
      </c>
      <c r="AM26" s="63">
        <f>AJ28+AM25</f>
        <v>0</v>
      </c>
      <c r="AN26" s="93">
        <f t="shared" si="71"/>
        <v>0</v>
      </c>
      <c r="AO26" s="94"/>
      <c r="AP26" s="95"/>
      <c r="AQ26" s="96">
        <f>AO26-AP26</f>
        <v>0</v>
      </c>
      <c r="AT26" s="9"/>
      <c r="AU26" s="37"/>
      <c r="AV26" s="9">
        <f>AT26-AU26</f>
        <v>0</v>
      </c>
      <c r="AW26" s="3">
        <f>F26</f>
        <v>0</v>
      </c>
      <c r="AX26" s="3">
        <f>I26</f>
        <v>0</v>
      </c>
      <c r="AY26" s="3">
        <f>L26</f>
        <v>0</v>
      </c>
      <c r="AZ26" s="3">
        <f>O26</f>
        <v>0</v>
      </c>
      <c r="BA26" s="3">
        <f>R26</f>
        <v>0</v>
      </c>
      <c r="BB26" s="3">
        <f>U26</f>
        <v>0</v>
      </c>
      <c r="BC26" s="3">
        <f>X26</f>
        <v>0</v>
      </c>
      <c r="BD26" s="3">
        <f>AA26</f>
        <v>0</v>
      </c>
      <c r="BE26" s="3">
        <f>AD26</f>
        <v>0</v>
      </c>
      <c r="BF26" s="3">
        <f>AG26</f>
        <v>0</v>
      </c>
      <c r="BG26" s="3">
        <f>AJ26</f>
        <v>0</v>
      </c>
      <c r="BH26" s="3">
        <f>AM26</f>
        <v>0</v>
      </c>
    </row>
    <row r="27" spans="1:94" s="3" customFormat="1" hidden="1" x14ac:dyDescent="0.2">
      <c r="A27" s="70"/>
      <c r="B27" s="64"/>
      <c r="C27" s="70" t="s">
        <v>4</v>
      </c>
      <c r="D27" s="70"/>
      <c r="E27" s="97"/>
      <c r="F27" s="117">
        <f>F26-F28</f>
        <v>0</v>
      </c>
      <c r="G27" s="118"/>
      <c r="H27" s="119"/>
      <c r="I27" s="117">
        <f>I26-I28</f>
        <v>0</v>
      </c>
      <c r="J27" s="118"/>
      <c r="K27" s="119"/>
      <c r="L27" s="117">
        <f>L26-L28</f>
        <v>0</v>
      </c>
      <c r="M27" s="118"/>
      <c r="N27" s="119"/>
      <c r="O27" s="117">
        <f>O26-O28</f>
        <v>0</v>
      </c>
      <c r="P27" s="118"/>
      <c r="Q27" s="119"/>
      <c r="R27" s="117">
        <f>R26-R28</f>
        <v>0</v>
      </c>
      <c r="S27" s="118"/>
      <c r="T27" s="119"/>
      <c r="U27" s="117">
        <f>U26-U28</f>
        <v>0</v>
      </c>
      <c r="V27" s="118"/>
      <c r="W27" s="119"/>
      <c r="X27" s="117">
        <f>X26-X28</f>
        <v>0</v>
      </c>
      <c r="Y27" s="118"/>
      <c r="Z27" s="119"/>
      <c r="AA27" s="117">
        <f>AA26-AA28</f>
        <v>0</v>
      </c>
      <c r="AB27" s="118"/>
      <c r="AC27" s="119"/>
      <c r="AD27" s="117">
        <f>AD26-AD28</f>
        <v>0</v>
      </c>
      <c r="AE27" s="118"/>
      <c r="AF27" s="119"/>
      <c r="AG27" s="117">
        <f>AG26-AG28</f>
        <v>0</v>
      </c>
      <c r="AH27" s="118"/>
      <c r="AI27" s="119"/>
      <c r="AJ27" s="117">
        <f>AJ26-AJ28</f>
        <v>0</v>
      </c>
      <c r="AK27" s="118"/>
      <c r="AL27" s="119"/>
      <c r="AM27" s="117">
        <f>AM26-AM28</f>
        <v>0</v>
      </c>
      <c r="AN27" s="93"/>
      <c r="AO27" s="112">
        <f>AL27+AI27+AF27+AC27+Z27+W27+T27+Q27+N27+K27+H27+E27</f>
        <v>0</v>
      </c>
      <c r="AP27" s="115"/>
      <c r="AQ27" s="120">
        <f>AO27-AP27</f>
        <v>0</v>
      </c>
      <c r="AR27" s="3" t="str">
        <f>C27</f>
        <v>Diff</v>
      </c>
      <c r="AT27" s="9"/>
      <c r="AU27" s="37">
        <f>INDEX(AW27:BH27,1,$I$1)</f>
        <v>0</v>
      </c>
      <c r="AV27" s="13">
        <f>AT27-AU27</f>
        <v>0</v>
      </c>
      <c r="AW27" s="3">
        <f>F27</f>
        <v>0</v>
      </c>
      <c r="AX27" s="3">
        <f>I27</f>
        <v>0</v>
      </c>
      <c r="AY27" s="3">
        <f>L27</f>
        <v>0</v>
      </c>
      <c r="AZ27" s="3">
        <f>O27</f>
        <v>0</v>
      </c>
      <c r="BA27" s="3">
        <f>R27</f>
        <v>0</v>
      </c>
      <c r="BB27" s="3">
        <f>U27</f>
        <v>0</v>
      </c>
      <c r="BC27" s="3">
        <f>X27</f>
        <v>0</v>
      </c>
      <c r="BD27" s="3">
        <f>AA27</f>
        <v>0</v>
      </c>
      <c r="BE27" s="3">
        <f>AD27</f>
        <v>0</v>
      </c>
      <c r="BF27" s="3">
        <f>AG27</f>
        <v>0</v>
      </c>
      <c r="BG27" s="3">
        <f>AJ27</f>
        <v>0</v>
      </c>
      <c r="BH27" s="3">
        <f>AM27</f>
        <v>0</v>
      </c>
    </row>
    <row r="28" spans="1:94" s="5" customFormat="1" hidden="1" x14ac:dyDescent="0.2">
      <c r="A28" s="104" t="s">
        <v>59</v>
      </c>
      <c r="B28" s="103"/>
      <c r="C28" s="104"/>
      <c r="D28" s="104">
        <f>SUM(D35)</f>
        <v>0</v>
      </c>
      <c r="E28" s="121" t="str">
        <f>IF(RealMaaned&lt;1,E53,"")</f>
        <v/>
      </c>
      <c r="F28" s="104">
        <f>E53</f>
        <v>0</v>
      </c>
      <c r="G28" s="122"/>
      <c r="H28" s="121" t="str">
        <f>IF(RealMaaned&lt;2,H53,"")</f>
        <v/>
      </c>
      <c r="I28" s="104">
        <f>H53</f>
        <v>0</v>
      </c>
      <c r="J28" s="122"/>
      <c r="K28" s="121"/>
      <c r="L28" s="104">
        <f>K53</f>
        <v>0</v>
      </c>
      <c r="M28" s="122"/>
      <c r="N28" s="121"/>
      <c r="O28" s="104">
        <f>N53</f>
        <v>0</v>
      </c>
      <c r="P28" s="122"/>
      <c r="Q28" s="121"/>
      <c r="R28" s="104">
        <f>Q53</f>
        <v>0</v>
      </c>
      <c r="S28" s="122"/>
      <c r="T28" s="121"/>
      <c r="U28" s="104">
        <f>T53</f>
        <v>0</v>
      </c>
      <c r="V28" s="122"/>
      <c r="W28" s="121"/>
      <c r="X28" s="104">
        <f>W53</f>
        <v>0</v>
      </c>
      <c r="Y28" s="122"/>
      <c r="Z28" s="121"/>
      <c r="AA28" s="104">
        <f>Z53</f>
        <v>0</v>
      </c>
      <c r="AB28" s="122"/>
      <c r="AC28" s="121"/>
      <c r="AD28" s="104">
        <f>AC53</f>
        <v>0</v>
      </c>
      <c r="AE28" s="122"/>
      <c r="AF28" s="121"/>
      <c r="AG28" s="104">
        <f>AF53</f>
        <v>0</v>
      </c>
      <c r="AH28" s="122"/>
      <c r="AI28" s="121"/>
      <c r="AJ28" s="104">
        <f>AI53</f>
        <v>0</v>
      </c>
      <c r="AK28" s="122"/>
      <c r="AL28" s="121"/>
      <c r="AM28" s="104">
        <f>AL53</f>
        <v>0</v>
      </c>
      <c r="AN28" s="122"/>
      <c r="AO28" s="123">
        <f>AO25+D28</f>
        <v>0</v>
      </c>
      <c r="AP28" s="124">
        <f>D28+AP25</f>
        <v>0</v>
      </c>
      <c r="AQ28" s="109">
        <f>AP28-AO28</f>
        <v>0</v>
      </c>
      <c r="AR28" s="7" t="s">
        <v>25</v>
      </c>
      <c r="AT28" s="8">
        <f>AT25-5441</f>
        <v>159699</v>
      </c>
      <c r="AU28" s="38">
        <f>AU25+AU27+D28</f>
        <v>0</v>
      </c>
      <c r="AV28" s="8">
        <f>AU28-AT28</f>
        <v>-159699</v>
      </c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</row>
    <row r="29" spans="1:94" s="3" customFormat="1" hidden="1" x14ac:dyDescent="0.2">
      <c r="A29" s="70"/>
      <c r="B29" s="64"/>
      <c r="C29" s="70"/>
      <c r="D29" s="111" t="s">
        <v>71</v>
      </c>
      <c r="E29" s="18">
        <v>0.5</v>
      </c>
      <c r="F29" s="125" t="str">
        <f>IF(F4&gt;0,F34/F4,"")</f>
        <v/>
      </c>
      <c r="G29" s="70"/>
      <c r="H29" s="18">
        <v>0.5</v>
      </c>
      <c r="I29" s="125" t="str">
        <f>IF(I4&gt;0,I34/I4,"")</f>
        <v/>
      </c>
      <c r="J29" s="70"/>
      <c r="K29" s="18">
        <v>0.5</v>
      </c>
      <c r="L29" s="125" t="str">
        <f>IF(L4&gt;0,L34/L4,"")</f>
        <v/>
      </c>
      <c r="M29" s="70"/>
      <c r="N29" s="18">
        <v>0.5</v>
      </c>
      <c r="O29" s="125" t="str">
        <f>IF(O4&gt;0,O34/O4,"")</f>
        <v/>
      </c>
      <c r="P29" s="70"/>
      <c r="Q29" s="18">
        <v>0.5</v>
      </c>
      <c r="R29" s="125" t="str">
        <f>IF(R4&gt;0,R34/R4,"")</f>
        <v/>
      </c>
      <c r="S29" s="70"/>
      <c r="T29" s="18">
        <v>0.5</v>
      </c>
      <c r="U29" s="125" t="str">
        <f>IF(U4&gt;0,U34/U4,"")</f>
        <v/>
      </c>
      <c r="V29" s="70"/>
      <c r="W29" s="18">
        <v>0.5</v>
      </c>
      <c r="X29" s="125" t="str">
        <f>IF(X4&gt;0,X34/X4,"")</f>
        <v/>
      </c>
      <c r="Y29" s="70"/>
      <c r="Z29" s="18">
        <v>0.5</v>
      </c>
      <c r="AA29" s="125" t="str">
        <f>IF(AA4&gt;0,AA34/AA4,"")</f>
        <v/>
      </c>
      <c r="AB29" s="70"/>
      <c r="AC29" s="18">
        <v>0.5</v>
      </c>
      <c r="AD29" s="125" t="str">
        <f>IF(AD4&gt;0,AD34/AD4,"")</f>
        <v/>
      </c>
      <c r="AE29" s="70"/>
      <c r="AF29" s="18">
        <v>0.5</v>
      </c>
      <c r="AG29" s="125" t="str">
        <f>IF(AG4&gt;0,AG34/AG4,"")</f>
        <v/>
      </c>
      <c r="AH29" s="70"/>
      <c r="AI29" s="18">
        <v>0.5</v>
      </c>
      <c r="AJ29" s="125" t="str">
        <f>IF(AJ4&gt;0,AJ34/AJ4,"")</f>
        <v/>
      </c>
      <c r="AK29" s="70"/>
      <c r="AL29" s="18">
        <v>0.5</v>
      </c>
      <c r="AM29" s="125" t="str">
        <f>IF(AM4&gt;0,AM34/AM4,"")</f>
        <v/>
      </c>
      <c r="AN29" s="70"/>
      <c r="AO29" s="72"/>
      <c r="AP29" s="70"/>
      <c r="AQ29" s="70"/>
    </row>
    <row r="30" spans="1:94" hidden="1" x14ac:dyDescent="0.2">
      <c r="A30" s="70"/>
      <c r="C30" s="70"/>
      <c r="D30" s="111" t="s">
        <v>70</v>
      </c>
      <c r="E30" s="18">
        <v>0.8</v>
      </c>
      <c r="F30" s="125" t="str">
        <f>IF(F40&lt;&gt;0,F40/SUM(F5:F14),"")</f>
        <v/>
      </c>
      <c r="G30" s="70"/>
      <c r="H30" s="18">
        <v>0.8</v>
      </c>
      <c r="I30" s="125" t="str">
        <f>IF(I40&lt;&gt;0,I40/SUM(I5:I14),"")</f>
        <v/>
      </c>
      <c r="J30" s="70"/>
      <c r="K30" s="18">
        <v>0.8</v>
      </c>
      <c r="L30" s="125" t="str">
        <f>IF(L40&lt;&gt;0,L40/SUM(L5:L14),"")</f>
        <v/>
      </c>
      <c r="M30" s="70"/>
      <c r="N30" s="18">
        <v>0.8</v>
      </c>
      <c r="O30" s="125" t="str">
        <f>IF(O40&lt;&gt;0,O40/SUM(O5:O14),"")</f>
        <v/>
      </c>
      <c r="P30" s="70"/>
      <c r="Q30" s="18">
        <v>0.8</v>
      </c>
      <c r="R30" s="125" t="str">
        <f>IF(R40&lt;&gt;0,R40/SUM(R5:R14),"")</f>
        <v/>
      </c>
      <c r="S30" s="70"/>
      <c r="T30" s="18">
        <v>0.8</v>
      </c>
      <c r="U30" s="125" t="str">
        <f>IF(U40&lt;&gt;0,U40/SUM(U5:U14),"")</f>
        <v/>
      </c>
      <c r="V30" s="70"/>
      <c r="W30" s="18">
        <v>0.8</v>
      </c>
      <c r="X30" s="125" t="str">
        <f>IF(X40&lt;&gt;0,X40/SUM(X5:X14),"")</f>
        <v/>
      </c>
      <c r="Y30" s="70"/>
      <c r="Z30" s="18">
        <v>0.8</v>
      </c>
      <c r="AA30" s="125" t="str">
        <f>IF(AA40&lt;&gt;0,AA40/SUM(AA5:AA14),"")</f>
        <v/>
      </c>
      <c r="AB30" s="70"/>
      <c r="AC30" s="18">
        <v>0.8</v>
      </c>
      <c r="AD30" s="125" t="str">
        <f>IF(AD40&lt;&gt;0,AD40/SUM(AD5:AD14),"")</f>
        <v/>
      </c>
      <c r="AE30" s="70"/>
      <c r="AF30" s="18">
        <v>0.8</v>
      </c>
      <c r="AG30" s="125" t="str">
        <f>IF(AG40&lt;&gt;0,AG40/SUM(AG5:AG14),"")</f>
        <v/>
      </c>
      <c r="AH30" s="70"/>
      <c r="AI30" s="18">
        <v>0.8</v>
      </c>
      <c r="AJ30" s="125" t="str">
        <f>IF(AJ40&lt;&gt;0,AJ40/SUM(AJ5:AJ14),"")</f>
        <v/>
      </c>
      <c r="AK30" s="70"/>
      <c r="AL30" s="18">
        <v>0.8</v>
      </c>
      <c r="AM30" s="125" t="str">
        <f>IF(AM40&lt;&gt;0,AM40/SUM(AM5:AM14),"")</f>
        <v/>
      </c>
      <c r="AN30" s="70"/>
      <c r="AO30" s="72"/>
      <c r="AP30" s="70"/>
      <c r="AQ30" s="70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94" hidden="1" x14ac:dyDescent="0.2">
      <c r="A31" s="70"/>
      <c r="C31" s="70"/>
      <c r="D31" s="126"/>
      <c r="E31" s="73" t="s">
        <v>14</v>
      </c>
      <c r="F31" s="74"/>
      <c r="G31" s="75"/>
      <c r="H31" s="73" t="s">
        <v>15</v>
      </c>
      <c r="I31" s="74"/>
      <c r="J31" s="75"/>
      <c r="K31" s="73" t="s">
        <v>16</v>
      </c>
      <c r="L31" s="74"/>
      <c r="M31" s="75"/>
      <c r="N31" s="73" t="s">
        <v>17</v>
      </c>
      <c r="O31" s="74"/>
      <c r="P31" s="75"/>
      <c r="Q31" s="73" t="s">
        <v>0</v>
      </c>
      <c r="R31" s="74"/>
      <c r="S31" s="75"/>
      <c r="T31" s="73" t="s">
        <v>18</v>
      </c>
      <c r="U31" s="74"/>
      <c r="V31" s="75"/>
      <c r="W31" s="73" t="s">
        <v>8</v>
      </c>
      <c r="X31" s="74"/>
      <c r="Y31" s="75"/>
      <c r="Z31" s="73" t="s">
        <v>9</v>
      </c>
      <c r="AA31" s="74"/>
      <c r="AB31" s="75"/>
      <c r="AC31" s="73" t="s">
        <v>10</v>
      </c>
      <c r="AD31" s="74"/>
      <c r="AE31" s="75"/>
      <c r="AF31" s="73" t="s">
        <v>11</v>
      </c>
      <c r="AG31" s="74"/>
      <c r="AH31" s="75"/>
      <c r="AI31" s="73" t="s">
        <v>12</v>
      </c>
      <c r="AJ31" s="74"/>
      <c r="AK31" s="75"/>
      <c r="AL31" s="73" t="s">
        <v>13</v>
      </c>
      <c r="AM31" s="74"/>
      <c r="AN31" s="75"/>
      <c r="AO31" s="99"/>
      <c r="AP31" s="70"/>
      <c r="AQ31" s="70"/>
    </row>
    <row r="32" spans="1:94" s="3" customFormat="1" hidden="1" x14ac:dyDescent="0.2">
      <c r="A32" s="64"/>
      <c r="B32" s="72" t="s">
        <v>60</v>
      </c>
      <c r="C32" s="70"/>
      <c r="D32" s="127" t="s">
        <v>61</v>
      </c>
      <c r="E32" s="82" t="s">
        <v>39</v>
      </c>
      <c r="F32" s="83" t="s">
        <v>2</v>
      </c>
      <c r="G32" s="84" t="s">
        <v>1</v>
      </c>
      <c r="H32" s="82" t="s">
        <v>40</v>
      </c>
      <c r="I32" s="83" t="s">
        <v>2</v>
      </c>
      <c r="J32" s="84" t="s">
        <v>1</v>
      </c>
      <c r="K32" s="82" t="s">
        <v>41</v>
      </c>
      <c r="L32" s="83" t="s">
        <v>2</v>
      </c>
      <c r="M32" s="84" t="s">
        <v>1</v>
      </c>
      <c r="N32" s="82" t="s">
        <v>42</v>
      </c>
      <c r="O32" s="83" t="s">
        <v>2</v>
      </c>
      <c r="P32" s="84" t="s">
        <v>1</v>
      </c>
      <c r="Q32" s="82" t="s">
        <v>43</v>
      </c>
      <c r="R32" s="83" t="s">
        <v>2</v>
      </c>
      <c r="S32" s="84" t="s">
        <v>1</v>
      </c>
      <c r="T32" s="82" t="s">
        <v>44</v>
      </c>
      <c r="U32" s="83" t="s">
        <v>2</v>
      </c>
      <c r="V32" s="84" t="s">
        <v>1</v>
      </c>
      <c r="W32" s="82" t="s">
        <v>45</v>
      </c>
      <c r="X32" s="83" t="s">
        <v>2</v>
      </c>
      <c r="Y32" s="84" t="s">
        <v>1</v>
      </c>
      <c r="Z32" s="82" t="s">
        <v>46</v>
      </c>
      <c r="AA32" s="83" t="s">
        <v>2</v>
      </c>
      <c r="AB32" s="84" t="s">
        <v>1</v>
      </c>
      <c r="AC32" s="82" t="s">
        <v>47</v>
      </c>
      <c r="AD32" s="83" t="s">
        <v>2</v>
      </c>
      <c r="AE32" s="84" t="s">
        <v>1</v>
      </c>
      <c r="AF32" s="82" t="s">
        <v>48</v>
      </c>
      <c r="AG32" s="83" t="s">
        <v>2</v>
      </c>
      <c r="AH32" s="84" t="s">
        <v>1</v>
      </c>
      <c r="AI32" s="82" t="s">
        <v>49</v>
      </c>
      <c r="AJ32" s="83" t="s">
        <v>2</v>
      </c>
      <c r="AK32" s="84" t="s">
        <v>1</v>
      </c>
      <c r="AL32" s="85" t="s">
        <v>50</v>
      </c>
      <c r="AM32" s="86" t="s">
        <v>2</v>
      </c>
      <c r="AN32" s="128" t="s">
        <v>1</v>
      </c>
      <c r="AO32" s="99"/>
      <c r="AP32" s="70"/>
      <c r="AQ32" s="70"/>
      <c r="AR32" s="4"/>
      <c r="AS32" s="4"/>
      <c r="AU32" s="44"/>
      <c r="AV32" s="1"/>
      <c r="AW32" s="12" t="s">
        <v>24</v>
      </c>
      <c r="AX32" s="12" t="s">
        <v>27</v>
      </c>
      <c r="AY32" s="12" t="s">
        <v>28</v>
      </c>
      <c r="AZ32" s="12" t="s">
        <v>29</v>
      </c>
      <c r="BA32" s="12" t="s">
        <v>30</v>
      </c>
      <c r="BB32" s="12" t="s">
        <v>0</v>
      </c>
      <c r="BC32" s="12" t="s">
        <v>31</v>
      </c>
      <c r="BD32" s="12" t="s">
        <v>32</v>
      </c>
      <c r="BE32" s="12" t="s">
        <v>33</v>
      </c>
      <c r="BF32" s="12" t="s">
        <v>34</v>
      </c>
      <c r="BG32" s="12" t="s">
        <v>35</v>
      </c>
      <c r="BH32" s="12" t="s">
        <v>36</v>
      </c>
      <c r="BI32" s="12" t="s">
        <v>37</v>
      </c>
    </row>
    <row r="33" spans="1:62" s="3" customFormat="1" hidden="1" x14ac:dyDescent="0.2">
      <c r="A33" s="64"/>
      <c r="B33" s="70" t="s">
        <v>73</v>
      </c>
      <c r="C33" s="70"/>
      <c r="D33" s="22"/>
      <c r="E33" s="21"/>
      <c r="F33" s="15"/>
      <c r="G33" s="130">
        <f t="shared" ref="G33:G43" si="134">E33-F33</f>
        <v>0</v>
      </c>
      <c r="H33" s="21"/>
      <c r="I33" s="15"/>
      <c r="J33" s="130">
        <f t="shared" ref="J33:J42" si="135">H33-I33</f>
        <v>0</v>
      </c>
      <c r="K33" s="21"/>
      <c r="L33" s="15"/>
      <c r="M33" s="130">
        <f t="shared" ref="M33:M42" si="136">K33-L33</f>
        <v>0</v>
      </c>
      <c r="N33" s="21"/>
      <c r="O33" s="15"/>
      <c r="P33" s="130">
        <f t="shared" ref="P33:P42" si="137">N33-O33</f>
        <v>0</v>
      </c>
      <c r="Q33" s="21"/>
      <c r="R33" s="15"/>
      <c r="S33" s="130">
        <f t="shared" ref="S33:S42" si="138">Q33-R33</f>
        <v>0</v>
      </c>
      <c r="T33" s="21"/>
      <c r="U33" s="15"/>
      <c r="V33" s="130">
        <f t="shared" ref="V33:V42" si="139">T33-U33</f>
        <v>0</v>
      </c>
      <c r="W33" s="21"/>
      <c r="X33" s="15"/>
      <c r="Y33" s="130">
        <f t="shared" ref="Y33:Y42" si="140">W33-X33</f>
        <v>0</v>
      </c>
      <c r="Z33" s="21"/>
      <c r="AA33" s="15"/>
      <c r="AB33" s="130">
        <f t="shared" ref="AB33:AB42" si="141">Z33-AA33</f>
        <v>0</v>
      </c>
      <c r="AC33" s="21"/>
      <c r="AD33" s="15"/>
      <c r="AE33" s="130">
        <f t="shared" ref="AE33:AE42" si="142">AC33-AD33</f>
        <v>0</v>
      </c>
      <c r="AF33" s="21"/>
      <c r="AG33" s="15"/>
      <c r="AH33" s="130">
        <f t="shared" ref="AH33:AH42" si="143">AF33-AG33</f>
        <v>0</v>
      </c>
      <c r="AI33" s="21"/>
      <c r="AJ33" s="15"/>
      <c r="AK33" s="130">
        <f t="shared" ref="AK33:AK42" si="144">AI33-AJ33</f>
        <v>0</v>
      </c>
      <c r="AL33" s="21"/>
      <c r="AM33" s="15"/>
      <c r="AN33" s="130">
        <f t="shared" ref="AN33:AN42" si="145">AL33-AM33</f>
        <v>0</v>
      </c>
      <c r="AO33" s="99"/>
      <c r="AP33" s="70"/>
      <c r="AQ33" s="70"/>
      <c r="AU33" s="1"/>
      <c r="AV33" s="45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3" t="s">
        <v>66</v>
      </c>
    </row>
    <row r="34" spans="1:62" s="3" customFormat="1" hidden="1" x14ac:dyDescent="0.2">
      <c r="A34" s="64"/>
      <c r="B34" s="70" t="s">
        <v>74</v>
      </c>
      <c r="C34" s="70"/>
      <c r="D34" s="16"/>
      <c r="E34" s="24"/>
      <c r="F34" s="16"/>
      <c r="G34" s="130">
        <f t="shared" si="134"/>
        <v>0</v>
      </c>
      <c r="H34" s="24">
        <f>H4*H29</f>
        <v>0</v>
      </c>
      <c r="I34" s="16"/>
      <c r="J34" s="130">
        <f t="shared" si="135"/>
        <v>0</v>
      </c>
      <c r="K34" s="24">
        <f>K4*K29</f>
        <v>0</v>
      </c>
      <c r="L34" s="16"/>
      <c r="M34" s="130">
        <f t="shared" si="136"/>
        <v>0</v>
      </c>
      <c r="N34" s="24">
        <f>N4*N29</f>
        <v>0</v>
      </c>
      <c r="O34" s="16"/>
      <c r="P34" s="130">
        <f t="shared" si="137"/>
        <v>0</v>
      </c>
      <c r="Q34" s="24">
        <f>Q4*Q29</f>
        <v>0</v>
      </c>
      <c r="R34" s="16"/>
      <c r="S34" s="130">
        <f t="shared" si="138"/>
        <v>0</v>
      </c>
      <c r="T34" s="24">
        <f>T4*T29</f>
        <v>0</v>
      </c>
      <c r="U34" s="16"/>
      <c r="V34" s="130">
        <f t="shared" si="139"/>
        <v>0</v>
      </c>
      <c r="W34" s="24">
        <f>W4*W29</f>
        <v>0</v>
      </c>
      <c r="X34" s="16"/>
      <c r="Y34" s="130">
        <f t="shared" si="140"/>
        <v>0</v>
      </c>
      <c r="Z34" s="24">
        <f>Z4*Z29</f>
        <v>0</v>
      </c>
      <c r="AA34" s="16"/>
      <c r="AB34" s="130">
        <f t="shared" si="141"/>
        <v>0</v>
      </c>
      <c r="AC34" s="24">
        <f>AC4*AC29</f>
        <v>0</v>
      </c>
      <c r="AD34" s="16"/>
      <c r="AE34" s="130">
        <f t="shared" si="142"/>
        <v>0</v>
      </c>
      <c r="AF34" s="24">
        <f>AF4*AF29</f>
        <v>0</v>
      </c>
      <c r="AG34" s="16"/>
      <c r="AH34" s="130">
        <f t="shared" si="143"/>
        <v>0</v>
      </c>
      <c r="AI34" s="24">
        <f>AI4*AI29</f>
        <v>0</v>
      </c>
      <c r="AJ34" s="16"/>
      <c r="AK34" s="130">
        <f t="shared" si="144"/>
        <v>0</v>
      </c>
      <c r="AL34" s="24">
        <f>AL4*AL29</f>
        <v>0</v>
      </c>
      <c r="AM34" s="16"/>
      <c r="AN34" s="130">
        <f t="shared" si="145"/>
        <v>0</v>
      </c>
      <c r="AO34" s="99"/>
      <c r="AP34" s="70"/>
      <c r="AQ34" s="70"/>
      <c r="AU34" s="1"/>
      <c r="AV34" s="46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3" t="s">
        <v>67</v>
      </c>
    </row>
    <row r="35" spans="1:62" s="3" customFormat="1" hidden="1" x14ac:dyDescent="0.2">
      <c r="A35" s="64"/>
      <c r="B35" s="63" t="s">
        <v>75</v>
      </c>
      <c r="C35" s="63"/>
      <c r="D35" s="17"/>
      <c r="E35" s="133">
        <f>E26</f>
        <v>0</v>
      </c>
      <c r="F35" s="17"/>
      <c r="G35" s="130">
        <f t="shared" si="134"/>
        <v>0</v>
      </c>
      <c r="H35" s="133">
        <f>H26</f>
        <v>0</v>
      </c>
      <c r="I35" s="17"/>
      <c r="J35" s="130">
        <f t="shared" si="135"/>
        <v>0</v>
      </c>
      <c r="K35" s="133">
        <f>K26</f>
        <v>0</v>
      </c>
      <c r="L35" s="17"/>
      <c r="M35" s="130">
        <f t="shared" si="136"/>
        <v>0</v>
      </c>
      <c r="N35" s="133">
        <f>N26</f>
        <v>0</v>
      </c>
      <c r="O35" s="17"/>
      <c r="P35" s="130">
        <f t="shared" si="137"/>
        <v>0</v>
      </c>
      <c r="Q35" s="133">
        <f>Q26</f>
        <v>0</v>
      </c>
      <c r="R35" s="17"/>
      <c r="S35" s="130">
        <f t="shared" si="138"/>
        <v>0</v>
      </c>
      <c r="T35" s="133">
        <f>T26</f>
        <v>0</v>
      </c>
      <c r="U35" s="17"/>
      <c r="V35" s="130">
        <f t="shared" si="139"/>
        <v>0</v>
      </c>
      <c r="W35" s="133">
        <f>W26</f>
        <v>0</v>
      </c>
      <c r="X35" s="17"/>
      <c r="Y35" s="130">
        <f t="shared" si="140"/>
        <v>0</v>
      </c>
      <c r="Z35" s="133">
        <f>Z26</f>
        <v>0</v>
      </c>
      <c r="AA35" s="17"/>
      <c r="AB35" s="130">
        <f t="shared" si="141"/>
        <v>0</v>
      </c>
      <c r="AC35" s="133">
        <f>AC26</f>
        <v>0</v>
      </c>
      <c r="AD35" s="17"/>
      <c r="AE35" s="130">
        <f t="shared" si="142"/>
        <v>0</v>
      </c>
      <c r="AF35" s="133">
        <f>AF26</f>
        <v>0</v>
      </c>
      <c r="AG35" s="17"/>
      <c r="AH35" s="130">
        <f t="shared" si="143"/>
        <v>0</v>
      </c>
      <c r="AI35" s="133">
        <f>AI26</f>
        <v>0</v>
      </c>
      <c r="AJ35" s="17"/>
      <c r="AK35" s="130">
        <f t="shared" si="144"/>
        <v>0</v>
      </c>
      <c r="AL35" s="133">
        <f>AL26</f>
        <v>0</v>
      </c>
      <c r="AM35" s="17"/>
      <c r="AN35" s="130">
        <f t="shared" si="145"/>
        <v>0</v>
      </c>
      <c r="AO35" s="134"/>
      <c r="AP35" s="63"/>
      <c r="AQ35" s="63"/>
      <c r="AU35" s="1"/>
    </row>
    <row r="36" spans="1:62" s="4" customFormat="1" hidden="1" x14ac:dyDescent="0.2">
      <c r="A36" s="64"/>
      <c r="B36" s="69" t="s">
        <v>76</v>
      </c>
      <c r="C36" s="69"/>
      <c r="D36" s="134">
        <f t="shared" ref="D36:AN36" si="146">SUM(D33:D35)</f>
        <v>0</v>
      </c>
      <c r="E36" s="135">
        <f t="shared" si="146"/>
        <v>0</v>
      </c>
      <c r="F36" s="69">
        <f t="shared" si="146"/>
        <v>0</v>
      </c>
      <c r="G36" s="136">
        <f t="shared" si="146"/>
        <v>0</v>
      </c>
      <c r="H36" s="135">
        <f t="shared" si="146"/>
        <v>0</v>
      </c>
      <c r="I36" s="69">
        <f t="shared" si="146"/>
        <v>0</v>
      </c>
      <c r="J36" s="136">
        <f t="shared" si="146"/>
        <v>0</v>
      </c>
      <c r="K36" s="135">
        <f t="shared" si="146"/>
        <v>0</v>
      </c>
      <c r="L36" s="69">
        <f t="shared" si="146"/>
        <v>0</v>
      </c>
      <c r="M36" s="136">
        <f t="shared" si="146"/>
        <v>0</v>
      </c>
      <c r="N36" s="135">
        <f t="shared" si="146"/>
        <v>0</v>
      </c>
      <c r="O36" s="69">
        <f t="shared" si="146"/>
        <v>0</v>
      </c>
      <c r="P36" s="136">
        <f t="shared" si="146"/>
        <v>0</v>
      </c>
      <c r="Q36" s="135">
        <f t="shared" si="146"/>
        <v>0</v>
      </c>
      <c r="R36" s="69">
        <f t="shared" si="146"/>
        <v>0</v>
      </c>
      <c r="S36" s="136">
        <f t="shared" si="146"/>
        <v>0</v>
      </c>
      <c r="T36" s="135">
        <f t="shared" si="146"/>
        <v>0</v>
      </c>
      <c r="U36" s="69">
        <f t="shared" si="146"/>
        <v>0</v>
      </c>
      <c r="V36" s="136">
        <f t="shared" si="146"/>
        <v>0</v>
      </c>
      <c r="W36" s="135">
        <f t="shared" si="146"/>
        <v>0</v>
      </c>
      <c r="X36" s="69">
        <f t="shared" si="146"/>
        <v>0</v>
      </c>
      <c r="Y36" s="136">
        <f t="shared" si="146"/>
        <v>0</v>
      </c>
      <c r="Z36" s="135">
        <f t="shared" si="146"/>
        <v>0</v>
      </c>
      <c r="AA36" s="69">
        <f t="shared" si="146"/>
        <v>0</v>
      </c>
      <c r="AB36" s="136">
        <f t="shared" si="146"/>
        <v>0</v>
      </c>
      <c r="AC36" s="135">
        <f t="shared" si="146"/>
        <v>0</v>
      </c>
      <c r="AD36" s="69">
        <f t="shared" si="146"/>
        <v>0</v>
      </c>
      <c r="AE36" s="136">
        <f t="shared" si="146"/>
        <v>0</v>
      </c>
      <c r="AF36" s="135">
        <f t="shared" si="146"/>
        <v>0</v>
      </c>
      <c r="AG36" s="69">
        <f t="shared" si="146"/>
        <v>0</v>
      </c>
      <c r="AH36" s="136">
        <f t="shared" si="146"/>
        <v>0</v>
      </c>
      <c r="AI36" s="135">
        <f t="shared" si="146"/>
        <v>0</v>
      </c>
      <c r="AJ36" s="69">
        <f>SUM(AJ33:AJ35)</f>
        <v>0</v>
      </c>
      <c r="AK36" s="136">
        <f t="shared" si="146"/>
        <v>0</v>
      </c>
      <c r="AL36" s="135">
        <f t="shared" si="146"/>
        <v>0</v>
      </c>
      <c r="AM36" s="69">
        <f t="shared" si="146"/>
        <v>0</v>
      </c>
      <c r="AN36" s="136">
        <f t="shared" si="146"/>
        <v>0</v>
      </c>
      <c r="AO36" s="134"/>
      <c r="AP36" s="69"/>
      <c r="AQ36" s="69"/>
      <c r="AU36" s="2"/>
    </row>
    <row r="37" spans="1:62" s="3" customFormat="1" hidden="1" x14ac:dyDescent="0.2">
      <c r="A37" s="64"/>
      <c r="B37" s="63" t="s">
        <v>77</v>
      </c>
      <c r="C37" s="63"/>
      <c r="D37" s="23"/>
      <c r="E37" s="137">
        <f>E15+E19+D37</f>
        <v>0</v>
      </c>
      <c r="F37" s="17"/>
      <c r="G37" s="130">
        <f t="shared" si="134"/>
        <v>0</v>
      </c>
      <c r="H37" s="137">
        <f>E37-H15-H19</f>
        <v>0</v>
      </c>
      <c r="I37" s="17"/>
      <c r="J37" s="130">
        <f t="shared" si="135"/>
        <v>0</v>
      </c>
      <c r="K37" s="137">
        <f>H37-K15-K19</f>
        <v>0</v>
      </c>
      <c r="L37" s="17"/>
      <c r="M37" s="130">
        <f t="shared" si="136"/>
        <v>0</v>
      </c>
      <c r="N37" s="137">
        <f>K37-N15-N19</f>
        <v>0</v>
      </c>
      <c r="O37" s="17"/>
      <c r="P37" s="130">
        <f t="shared" si="137"/>
        <v>0</v>
      </c>
      <c r="Q37" s="137">
        <f>N37-Q15-Q19</f>
        <v>0</v>
      </c>
      <c r="R37" s="17"/>
      <c r="S37" s="130">
        <f t="shared" si="138"/>
        <v>0</v>
      </c>
      <c r="T37" s="137">
        <f>Q37-T15-T19</f>
        <v>0</v>
      </c>
      <c r="U37" s="17"/>
      <c r="V37" s="130">
        <f t="shared" si="139"/>
        <v>0</v>
      </c>
      <c r="W37" s="137">
        <f>T37-W15-W19</f>
        <v>0</v>
      </c>
      <c r="X37" s="17"/>
      <c r="Y37" s="130">
        <f t="shared" si="140"/>
        <v>0</v>
      </c>
      <c r="Z37" s="137">
        <f>W37-Z15-Z19</f>
        <v>0</v>
      </c>
      <c r="AA37" s="17"/>
      <c r="AB37" s="130">
        <f t="shared" si="141"/>
        <v>0</v>
      </c>
      <c r="AC37" s="137">
        <f>Z37-AC15-AC19</f>
        <v>0</v>
      </c>
      <c r="AD37" s="17"/>
      <c r="AE37" s="130">
        <f t="shared" si="142"/>
        <v>0</v>
      </c>
      <c r="AF37" s="137">
        <f>AC37-AF15-AF19</f>
        <v>0</v>
      </c>
      <c r="AG37" s="17"/>
      <c r="AH37" s="130">
        <f t="shared" si="143"/>
        <v>0</v>
      </c>
      <c r="AI37" s="137">
        <f>AF37-AI15-AI19</f>
        <v>0</v>
      </c>
      <c r="AJ37" s="17"/>
      <c r="AK37" s="130">
        <f t="shared" si="144"/>
        <v>0</v>
      </c>
      <c r="AL37" s="137">
        <f>AI37-AL15-AL19</f>
        <v>0</v>
      </c>
      <c r="AM37" s="17"/>
      <c r="AN37" s="130">
        <f t="shared" si="145"/>
        <v>0</v>
      </c>
      <c r="AO37" s="134"/>
      <c r="AP37" s="63"/>
      <c r="AQ37" s="63"/>
      <c r="AU37" s="1"/>
    </row>
    <row r="38" spans="1:62" s="3" customFormat="1" hidden="1" x14ac:dyDescent="0.2">
      <c r="A38" s="64"/>
      <c r="B38" s="63" t="s">
        <v>106</v>
      </c>
      <c r="C38" s="63"/>
      <c r="D38" s="23"/>
      <c r="E38" s="25"/>
      <c r="F38" s="42"/>
      <c r="G38" s="138">
        <f t="shared" si="134"/>
        <v>0</v>
      </c>
      <c r="H38" s="43"/>
      <c r="I38" s="42"/>
      <c r="J38" s="138">
        <f t="shared" si="135"/>
        <v>0</v>
      </c>
      <c r="K38" s="43"/>
      <c r="L38" s="42"/>
      <c r="M38" s="138">
        <f t="shared" si="136"/>
        <v>0</v>
      </c>
      <c r="N38" s="43"/>
      <c r="O38" s="42"/>
      <c r="P38" s="138">
        <f t="shared" si="137"/>
        <v>0</v>
      </c>
      <c r="Q38" s="43"/>
      <c r="R38" s="42"/>
      <c r="S38" s="138">
        <f t="shared" si="138"/>
        <v>0</v>
      </c>
      <c r="T38" s="43"/>
      <c r="U38" s="42"/>
      <c r="V38" s="138">
        <f t="shared" si="139"/>
        <v>0</v>
      </c>
      <c r="W38" s="43"/>
      <c r="X38" s="42"/>
      <c r="Y38" s="138">
        <f t="shared" si="140"/>
        <v>0</v>
      </c>
      <c r="Z38" s="43"/>
      <c r="AA38" s="42"/>
      <c r="AB38" s="130">
        <f t="shared" si="141"/>
        <v>0</v>
      </c>
      <c r="AC38" s="25"/>
      <c r="AD38" s="42"/>
      <c r="AE38" s="130">
        <f t="shared" si="142"/>
        <v>0</v>
      </c>
      <c r="AF38" s="25"/>
      <c r="AG38" s="42"/>
      <c r="AH38" s="130">
        <f t="shared" si="143"/>
        <v>0</v>
      </c>
      <c r="AI38" s="25"/>
      <c r="AJ38" s="17"/>
      <c r="AK38" s="130">
        <f t="shared" si="144"/>
        <v>0</v>
      </c>
      <c r="AL38" s="25"/>
      <c r="AM38" s="17"/>
      <c r="AN38" s="130">
        <f t="shared" si="145"/>
        <v>0</v>
      </c>
      <c r="AO38" s="134"/>
      <c r="AP38" s="63"/>
      <c r="AQ38" s="63"/>
      <c r="AU38" s="1"/>
    </row>
    <row r="39" spans="1:62" s="3" customFormat="1" hidden="1" x14ac:dyDescent="0.2">
      <c r="A39" s="64"/>
      <c r="B39" s="63" t="s">
        <v>78</v>
      </c>
      <c r="C39" s="63"/>
      <c r="D39" s="17"/>
      <c r="E39" s="25"/>
      <c r="F39" s="17"/>
      <c r="G39" s="130">
        <f t="shared" si="134"/>
        <v>0</v>
      </c>
      <c r="H39" s="25"/>
      <c r="I39" s="17"/>
      <c r="J39" s="130">
        <f t="shared" si="135"/>
        <v>0</v>
      </c>
      <c r="K39" s="25"/>
      <c r="L39" s="17"/>
      <c r="M39" s="130">
        <f t="shared" si="136"/>
        <v>0</v>
      </c>
      <c r="N39" s="25"/>
      <c r="O39" s="17"/>
      <c r="P39" s="130">
        <f t="shared" si="137"/>
        <v>0</v>
      </c>
      <c r="Q39" s="25"/>
      <c r="R39" s="17"/>
      <c r="S39" s="130">
        <f t="shared" si="138"/>
        <v>0</v>
      </c>
      <c r="T39" s="25"/>
      <c r="U39" s="17"/>
      <c r="V39" s="130">
        <f t="shared" si="139"/>
        <v>0</v>
      </c>
      <c r="W39" s="25"/>
      <c r="X39" s="17"/>
      <c r="Y39" s="130">
        <f t="shared" si="140"/>
        <v>0</v>
      </c>
      <c r="Z39" s="25"/>
      <c r="AA39" s="17"/>
      <c r="AB39" s="130">
        <f t="shared" si="141"/>
        <v>0</v>
      </c>
      <c r="AC39" s="25"/>
      <c r="AD39" s="17"/>
      <c r="AE39" s="130">
        <f t="shared" si="142"/>
        <v>0</v>
      </c>
      <c r="AF39" s="25"/>
      <c r="AG39" s="17"/>
      <c r="AH39" s="130">
        <f t="shared" si="143"/>
        <v>0</v>
      </c>
      <c r="AI39" s="25"/>
      <c r="AJ39" s="17"/>
      <c r="AK39" s="130">
        <f t="shared" si="144"/>
        <v>0</v>
      </c>
      <c r="AL39" s="25"/>
      <c r="AM39" s="17"/>
      <c r="AN39" s="130">
        <f t="shared" si="145"/>
        <v>0</v>
      </c>
      <c r="AO39" s="134"/>
      <c r="AP39" s="63"/>
      <c r="AQ39" s="63"/>
      <c r="AU39" s="1"/>
      <c r="AW39" s="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</row>
    <row r="40" spans="1:62" s="3" customFormat="1" hidden="1" x14ac:dyDescent="0.2">
      <c r="A40" s="64"/>
      <c r="B40" s="70" t="s">
        <v>79</v>
      </c>
      <c r="C40" s="63"/>
      <c r="D40" s="17"/>
      <c r="E40" s="25"/>
      <c r="F40" s="17"/>
      <c r="G40" s="130">
        <f t="shared" si="134"/>
        <v>0</v>
      </c>
      <c r="H40" s="25">
        <f>SUM(H9:H13)*H30</f>
        <v>0</v>
      </c>
      <c r="I40" s="17"/>
      <c r="J40" s="130">
        <f t="shared" si="135"/>
        <v>0</v>
      </c>
      <c r="K40" s="25">
        <f>SUM(K9:K13)*K30</f>
        <v>0</v>
      </c>
      <c r="L40" s="17"/>
      <c r="M40" s="130">
        <f t="shared" si="136"/>
        <v>0</v>
      </c>
      <c r="N40" s="25"/>
      <c r="O40" s="17"/>
      <c r="P40" s="130">
        <f t="shared" si="137"/>
        <v>0</v>
      </c>
      <c r="Q40" s="25"/>
      <c r="R40" s="17"/>
      <c r="S40" s="130">
        <f t="shared" si="138"/>
        <v>0</v>
      </c>
      <c r="T40" s="25"/>
      <c r="U40" s="17"/>
      <c r="V40" s="130">
        <f t="shared" si="139"/>
        <v>0</v>
      </c>
      <c r="W40" s="25"/>
      <c r="X40" s="17"/>
      <c r="Y40" s="130">
        <f t="shared" si="140"/>
        <v>0</v>
      </c>
      <c r="Z40" s="25"/>
      <c r="AA40" s="17"/>
      <c r="AB40" s="130">
        <f t="shared" si="141"/>
        <v>0</v>
      </c>
      <c r="AC40" s="25"/>
      <c r="AD40" s="17"/>
      <c r="AE40" s="130">
        <f t="shared" si="142"/>
        <v>0</v>
      </c>
      <c r="AF40" s="25"/>
      <c r="AG40" s="17"/>
      <c r="AH40" s="130">
        <f t="shared" si="143"/>
        <v>0</v>
      </c>
      <c r="AI40" s="25">
        <f>SUM(AI9:AI13)*AI30</f>
        <v>0</v>
      </c>
      <c r="AJ40" s="17"/>
      <c r="AK40" s="130">
        <f t="shared" si="144"/>
        <v>0</v>
      </c>
      <c r="AL40" s="25">
        <f>SUM(AL9:AL13)*AL30</f>
        <v>0</v>
      </c>
      <c r="AM40" s="17"/>
      <c r="AN40" s="130">
        <f t="shared" si="145"/>
        <v>0</v>
      </c>
      <c r="AO40" s="134"/>
      <c r="AP40" s="63"/>
      <c r="AQ40" s="63"/>
      <c r="AU40" s="1"/>
      <c r="AW40" s="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</row>
    <row r="41" spans="1:62" s="3" customFormat="1" hidden="1" x14ac:dyDescent="0.2">
      <c r="A41" s="64"/>
      <c r="B41" s="70" t="s">
        <v>80</v>
      </c>
      <c r="C41" s="63"/>
      <c r="D41" s="23"/>
      <c r="E41" s="25"/>
      <c r="F41" s="17"/>
      <c r="G41" s="130">
        <f t="shared" si="134"/>
        <v>0</v>
      </c>
      <c r="H41" s="25">
        <f>H48</f>
        <v>0</v>
      </c>
      <c r="I41" s="17"/>
      <c r="J41" s="130">
        <f t="shared" si="135"/>
        <v>0</v>
      </c>
      <c r="K41" s="25">
        <f>K48</f>
        <v>0</v>
      </c>
      <c r="L41" s="17"/>
      <c r="M41" s="130">
        <f t="shared" si="136"/>
        <v>0</v>
      </c>
      <c r="N41" s="25"/>
      <c r="O41" s="17"/>
      <c r="P41" s="130">
        <f t="shared" si="137"/>
        <v>0</v>
      </c>
      <c r="Q41" s="25"/>
      <c r="R41" s="17"/>
      <c r="S41" s="130">
        <f t="shared" si="138"/>
        <v>0</v>
      </c>
      <c r="T41" s="25"/>
      <c r="U41" s="17"/>
      <c r="V41" s="130">
        <f t="shared" si="139"/>
        <v>0</v>
      </c>
      <c r="W41" s="25"/>
      <c r="X41" s="17"/>
      <c r="Y41" s="130">
        <f t="shared" si="140"/>
        <v>0</v>
      </c>
      <c r="Z41" s="25"/>
      <c r="AA41" s="17"/>
      <c r="AB41" s="130">
        <f t="shared" si="141"/>
        <v>0</v>
      </c>
      <c r="AC41" s="25"/>
      <c r="AD41" s="17"/>
      <c r="AE41" s="130">
        <f t="shared" si="142"/>
        <v>0</v>
      </c>
      <c r="AF41" s="25"/>
      <c r="AG41" s="17"/>
      <c r="AH41" s="130">
        <f t="shared" si="143"/>
        <v>0</v>
      </c>
      <c r="AI41" s="25">
        <f>AI48</f>
        <v>0</v>
      </c>
      <c r="AJ41" s="17"/>
      <c r="AK41" s="130">
        <f t="shared" si="144"/>
        <v>0</v>
      </c>
      <c r="AL41" s="25">
        <f>AL48</f>
        <v>0</v>
      </c>
      <c r="AM41" s="17"/>
      <c r="AN41" s="130">
        <f t="shared" si="145"/>
        <v>0</v>
      </c>
      <c r="AO41" s="134"/>
      <c r="AP41" s="63"/>
      <c r="AQ41" s="63"/>
      <c r="AU41" s="1"/>
      <c r="AW41" s="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</row>
    <row r="42" spans="1:62" s="3" customFormat="1" hidden="1" x14ac:dyDescent="0.2">
      <c r="A42" s="64"/>
      <c r="B42" s="70" t="s">
        <v>81</v>
      </c>
      <c r="C42" s="63"/>
      <c r="D42" s="23"/>
      <c r="E42" s="25"/>
      <c r="F42" s="17"/>
      <c r="G42" s="130">
        <f t="shared" si="134"/>
        <v>0</v>
      </c>
      <c r="H42" s="25"/>
      <c r="I42" s="17"/>
      <c r="J42" s="130">
        <f t="shared" si="135"/>
        <v>0</v>
      </c>
      <c r="K42" s="25"/>
      <c r="L42" s="17"/>
      <c r="M42" s="130">
        <f t="shared" si="136"/>
        <v>0</v>
      </c>
      <c r="N42" s="25"/>
      <c r="O42" s="17"/>
      <c r="P42" s="130">
        <f t="shared" si="137"/>
        <v>0</v>
      </c>
      <c r="Q42" s="25"/>
      <c r="R42" s="17"/>
      <c r="S42" s="130">
        <f t="shared" si="138"/>
        <v>0</v>
      </c>
      <c r="T42" s="25"/>
      <c r="U42" s="17"/>
      <c r="V42" s="130">
        <f t="shared" si="139"/>
        <v>0</v>
      </c>
      <c r="W42" s="25"/>
      <c r="X42" s="17"/>
      <c r="Y42" s="130">
        <f t="shared" si="140"/>
        <v>0</v>
      </c>
      <c r="Z42" s="25"/>
      <c r="AA42" s="17"/>
      <c r="AB42" s="130">
        <f t="shared" si="141"/>
        <v>0</v>
      </c>
      <c r="AC42" s="25"/>
      <c r="AD42" s="17"/>
      <c r="AE42" s="130">
        <f t="shared" si="142"/>
        <v>0</v>
      </c>
      <c r="AF42" s="25"/>
      <c r="AG42" s="17"/>
      <c r="AH42" s="130">
        <f t="shared" si="143"/>
        <v>0</v>
      </c>
      <c r="AI42" s="25"/>
      <c r="AJ42" s="17"/>
      <c r="AK42" s="130">
        <f t="shared" si="144"/>
        <v>0</v>
      </c>
      <c r="AL42" s="25"/>
      <c r="AM42" s="17"/>
      <c r="AN42" s="130">
        <f t="shared" si="145"/>
        <v>0</v>
      </c>
      <c r="AO42" s="134"/>
      <c r="AP42" s="63"/>
      <c r="AQ42" s="63"/>
      <c r="AU42" s="1"/>
      <c r="AW42" s="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</row>
    <row r="43" spans="1:62" s="4" customFormat="1" hidden="1" x14ac:dyDescent="0.2">
      <c r="A43" s="71"/>
      <c r="B43" s="72" t="s">
        <v>82</v>
      </c>
      <c r="C43" s="69"/>
      <c r="D43" s="139">
        <f>SUM(D37:D42)</f>
        <v>0</v>
      </c>
      <c r="E43" s="140">
        <f>SUM(E37:E42)-E38</f>
        <v>0</v>
      </c>
      <c r="F43" s="141">
        <f>SUM(F37:F42)-F38</f>
        <v>0</v>
      </c>
      <c r="G43" s="139">
        <f t="shared" si="134"/>
        <v>0</v>
      </c>
      <c r="H43" s="140">
        <f>SUM(H37:H42)-H38</f>
        <v>0</v>
      </c>
      <c r="I43" s="141">
        <f>SUM(I37:I42)-I38</f>
        <v>0</v>
      </c>
      <c r="J43" s="139"/>
      <c r="K43" s="140">
        <f>SUM(K37:K42)-K38</f>
        <v>0</v>
      </c>
      <c r="L43" s="141">
        <f>SUM(L37:L42)-L38</f>
        <v>0</v>
      </c>
      <c r="M43" s="139"/>
      <c r="N43" s="140">
        <f>SUM(N37:N42)-N38</f>
        <v>0</v>
      </c>
      <c r="O43" s="141">
        <f>SUM(O37:O42)-O38</f>
        <v>0</v>
      </c>
      <c r="P43" s="139"/>
      <c r="Q43" s="140">
        <f>SUM(Q37:Q42)-Q38</f>
        <v>0</v>
      </c>
      <c r="R43" s="141">
        <f>SUM(R37:R42)-R38</f>
        <v>0</v>
      </c>
      <c r="S43" s="139"/>
      <c r="T43" s="140">
        <f>SUM(T37:T42)-T38</f>
        <v>0</v>
      </c>
      <c r="U43" s="141">
        <f>SUM(U37:U42)-U38</f>
        <v>0</v>
      </c>
      <c r="V43" s="139"/>
      <c r="W43" s="140">
        <f>SUM(W37:W42)-W38</f>
        <v>0</v>
      </c>
      <c r="X43" s="141">
        <f>SUM(X37:X42)-X38</f>
        <v>0</v>
      </c>
      <c r="Y43" s="139"/>
      <c r="Z43" s="140">
        <f>SUM(Z37:Z42)-Z38</f>
        <v>0</v>
      </c>
      <c r="AA43" s="141">
        <f>SUM(AA37:AA42)-AA38</f>
        <v>0</v>
      </c>
      <c r="AB43" s="139"/>
      <c r="AC43" s="140">
        <f>SUM(AC37:AC42)-AC38</f>
        <v>0</v>
      </c>
      <c r="AD43" s="141">
        <f>SUM(AD37:AD42)-AD38</f>
        <v>0</v>
      </c>
      <c r="AE43" s="139"/>
      <c r="AF43" s="140">
        <f>SUM(AF37:AF42)-AF38</f>
        <v>0</v>
      </c>
      <c r="AG43" s="141">
        <f>SUM(AG37:AG42)-AG38</f>
        <v>0</v>
      </c>
      <c r="AH43" s="139"/>
      <c r="AI43" s="140">
        <f>SUM(AI37:AI42)-AI38</f>
        <v>0</v>
      </c>
      <c r="AJ43" s="141">
        <f>SUM(AJ37:AJ42)-AJ38</f>
        <v>0</v>
      </c>
      <c r="AK43" s="139"/>
      <c r="AL43" s="140">
        <f>SUM(AL37:AL42)-AL38</f>
        <v>0</v>
      </c>
      <c r="AM43" s="141">
        <f>SUM(AM37:AM42)-AM38</f>
        <v>0</v>
      </c>
      <c r="AN43" s="139">
        <f>SUM(AN40:AN42)</f>
        <v>0</v>
      </c>
      <c r="AO43" s="134"/>
      <c r="AP43" s="69"/>
      <c r="AQ43" s="69"/>
      <c r="AU43" s="2"/>
      <c r="AW43" s="2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</row>
    <row r="44" spans="1:62" hidden="1" x14ac:dyDescent="0.2">
      <c r="B44" s="64" t="s">
        <v>4</v>
      </c>
      <c r="F44" s="142">
        <f>(F36+F43)*-1</f>
        <v>0</v>
      </c>
      <c r="G44" s="142"/>
      <c r="H44" s="142"/>
      <c r="I44" s="142">
        <f>(I36+I43)*-1</f>
        <v>0</v>
      </c>
      <c r="J44" s="142"/>
      <c r="K44" s="142"/>
      <c r="L44" s="142">
        <f>(L36+L43)*-1</f>
        <v>0</v>
      </c>
      <c r="M44" s="142"/>
      <c r="N44" s="142"/>
      <c r="O44" s="142">
        <f>(O36+O43)*-1</f>
        <v>0</v>
      </c>
      <c r="P44" s="142"/>
      <c r="Q44" s="142"/>
      <c r="R44" s="142">
        <f>(R36+R43)*-1</f>
        <v>0</v>
      </c>
      <c r="S44" s="142"/>
      <c r="T44" s="142"/>
      <c r="U44" s="142">
        <f>(U36+U43)*-1</f>
        <v>0</v>
      </c>
      <c r="V44" s="142"/>
      <c r="W44" s="142"/>
      <c r="X44" s="142">
        <f>(X36+X43)*-1</f>
        <v>0</v>
      </c>
      <c r="Y44" s="142"/>
      <c r="Z44" s="142"/>
      <c r="AA44" s="142">
        <f>(AA36+AA43)*-1</f>
        <v>0</v>
      </c>
      <c r="AB44" s="142"/>
      <c r="AC44" s="142"/>
      <c r="AD44" s="142">
        <f>(AD36+AD43)*-1</f>
        <v>0</v>
      </c>
      <c r="AE44" s="142"/>
      <c r="AF44" s="142"/>
      <c r="AG44" s="142">
        <f>(AG36+AG43)*-1</f>
        <v>0</v>
      </c>
      <c r="AH44" s="142"/>
      <c r="AI44" s="142"/>
      <c r="AJ44" s="142">
        <f>(AJ36+AJ43)*-1</f>
        <v>0</v>
      </c>
      <c r="AK44" s="142"/>
      <c r="AL44" s="142"/>
      <c r="AM44" s="142">
        <f>(AM36+AM43)*-1</f>
        <v>0</v>
      </c>
    </row>
    <row r="45" spans="1:62" hidden="1" x14ac:dyDescent="0.2">
      <c r="B45" s="71" t="s">
        <v>68</v>
      </c>
      <c r="C45" s="63" t="s">
        <v>51</v>
      </c>
      <c r="E45" s="143">
        <f>SUMIF($D4:$D25,"Moms",E4:E25)</f>
        <v>0</v>
      </c>
      <c r="H45" s="143">
        <f>SUMIF($D4:$D25,"Moms",H4:H25)</f>
        <v>0</v>
      </c>
      <c r="K45" s="143">
        <f>SUMIF($D4:$D25,"Moms",K4:K25)</f>
        <v>0</v>
      </c>
      <c r="N45" s="143">
        <f>SUMIF($D4:$D25,"Moms",N4:N25)</f>
        <v>0</v>
      </c>
      <c r="Q45" s="143">
        <f>SUMIF($D4:$D25,"Moms",Q4:Q25)</f>
        <v>0</v>
      </c>
      <c r="T45" s="143">
        <f>SUMIF($D4:$D25,"Moms",T4:T25)</f>
        <v>0</v>
      </c>
      <c r="W45" s="143">
        <f>SUMIF($D4:$D25,"Moms",W4:W25)</f>
        <v>0</v>
      </c>
      <c r="Z45" s="143">
        <f>SUMIF($D4:$D25,"Moms",Z4:Z25)</f>
        <v>0</v>
      </c>
      <c r="AC45" s="143">
        <f>SUMIF($D4:$D25,"Moms",AC4:AC25)</f>
        <v>0</v>
      </c>
      <c r="AF45" s="143">
        <f>SUMIF($D4:$D25,"Moms",AF4:AF25)</f>
        <v>0</v>
      </c>
      <c r="AI45" s="143">
        <f>SUMIF($D4:$D25,"Moms",AI4:AI25)</f>
        <v>0</v>
      </c>
      <c r="AL45" s="143">
        <f>SUMIF($D4:$D25,"Moms",AL4:AL25)</f>
        <v>0</v>
      </c>
    </row>
    <row r="46" spans="1:62" hidden="1" x14ac:dyDescent="0.2">
      <c r="C46" s="63" t="s">
        <v>52</v>
      </c>
      <c r="E46" s="63">
        <f>E45*0.25</f>
        <v>0</v>
      </c>
      <c r="H46" s="63">
        <f>H45*0.25</f>
        <v>0</v>
      </c>
      <c r="K46" s="63">
        <f>K45*0.25</f>
        <v>0</v>
      </c>
      <c r="N46" s="63">
        <f>N45*0.25</f>
        <v>0</v>
      </c>
      <c r="Q46" s="63">
        <f>Q45*0.25</f>
        <v>0</v>
      </c>
      <c r="T46" s="63">
        <f>T45*0.25</f>
        <v>0</v>
      </c>
      <c r="W46" s="63">
        <f>W45*0.25</f>
        <v>0</v>
      </c>
      <c r="Z46" s="63">
        <f>Z45*0.25</f>
        <v>0</v>
      </c>
      <c r="AC46" s="63">
        <f>AC45*0.25</f>
        <v>0</v>
      </c>
      <c r="AF46" s="63">
        <f>AF45*0.25</f>
        <v>0</v>
      </c>
      <c r="AI46" s="63">
        <f>AI45*0.25</f>
        <v>0</v>
      </c>
      <c r="AL46" s="63">
        <f>AL45*0.25</f>
        <v>0</v>
      </c>
      <c r="AO46" s="69" t="s">
        <v>53</v>
      </c>
    </row>
    <row r="47" spans="1:62" hidden="1" x14ac:dyDescent="0.2">
      <c r="C47" s="63" t="s">
        <v>63</v>
      </c>
      <c r="J47" s="144" t="s">
        <v>58</v>
      </c>
      <c r="K47" s="145">
        <f>D48</f>
        <v>0</v>
      </c>
      <c r="S47" s="144" t="s">
        <v>57</v>
      </c>
      <c r="T47" s="145">
        <f>SUM(E46:K46)*-1</f>
        <v>0</v>
      </c>
      <c r="AB47" s="144" t="s">
        <v>54</v>
      </c>
      <c r="AC47" s="145">
        <f>SUM(N46:T46)*-1</f>
        <v>0</v>
      </c>
      <c r="AK47" s="144" t="s">
        <v>55</v>
      </c>
      <c r="AL47" s="145">
        <f>SUM(W46:AC46)*-1</f>
        <v>0</v>
      </c>
      <c r="AN47" s="63" t="s">
        <v>56</v>
      </c>
      <c r="AO47" s="145">
        <f>SUM(AF46:AL46)*-1</f>
        <v>0</v>
      </c>
    </row>
    <row r="48" spans="1:62" hidden="1" x14ac:dyDescent="0.2">
      <c r="C48" s="63" t="s">
        <v>62</v>
      </c>
      <c r="D48" s="63">
        <f>D41</f>
        <v>0</v>
      </c>
      <c r="E48" s="63">
        <f>D48-E46</f>
        <v>0</v>
      </c>
      <c r="H48" s="63">
        <f>E48-H46</f>
        <v>0</v>
      </c>
      <c r="K48" s="63">
        <f>H48-K46-K47</f>
        <v>0</v>
      </c>
      <c r="N48" s="63">
        <f>K48-N46-N47</f>
        <v>0</v>
      </c>
      <c r="Q48" s="63">
        <f>N48-Q46-Q47</f>
        <v>0</v>
      </c>
      <c r="T48" s="63">
        <f>Q48-T46-T47</f>
        <v>0</v>
      </c>
      <c r="W48" s="63">
        <f>T48-W46-W47</f>
        <v>0</v>
      </c>
      <c r="Z48" s="63">
        <f>W48-Z46-Z47</f>
        <v>0</v>
      </c>
      <c r="AC48" s="63">
        <f>Z48-AC46-AC47</f>
        <v>0</v>
      </c>
      <c r="AD48" s="144"/>
      <c r="AE48" s="144"/>
      <c r="AF48" s="63">
        <f>AC48-AF46-AF47</f>
        <v>0</v>
      </c>
      <c r="AG48" s="144"/>
      <c r="AH48" s="144"/>
      <c r="AI48" s="63">
        <f>AF48-AI46-AI47</f>
        <v>0</v>
      </c>
      <c r="AJ48" s="144"/>
      <c r="AK48" s="144"/>
      <c r="AL48" s="63">
        <f>AI48-AL46-AL47</f>
        <v>0</v>
      </c>
      <c r="AM48" s="144"/>
      <c r="AN48" s="144"/>
      <c r="AO48" s="63"/>
    </row>
    <row r="49" spans="2:41" hidden="1" x14ac:dyDescent="0.2">
      <c r="AO49" s="63"/>
    </row>
    <row r="50" spans="2:41" hidden="1" x14ac:dyDescent="0.2">
      <c r="D50" s="70" t="s">
        <v>24</v>
      </c>
      <c r="E50" s="146">
        <v>1</v>
      </c>
      <c r="F50" s="146"/>
      <c r="G50" s="146"/>
      <c r="H50" s="146">
        <v>2</v>
      </c>
      <c r="I50" s="146"/>
      <c r="J50" s="146"/>
      <c r="K50" s="146">
        <v>3</v>
      </c>
      <c r="L50" s="146"/>
      <c r="M50" s="146"/>
      <c r="N50" s="146">
        <v>4</v>
      </c>
      <c r="O50" s="146"/>
      <c r="P50" s="146"/>
      <c r="Q50" s="146">
        <v>5</v>
      </c>
      <c r="R50" s="146"/>
      <c r="S50" s="146"/>
      <c r="T50" s="146">
        <v>6</v>
      </c>
      <c r="U50" s="146"/>
      <c r="V50" s="146"/>
      <c r="W50" s="146">
        <v>7</v>
      </c>
      <c r="X50" s="146"/>
      <c r="Y50" s="146"/>
      <c r="Z50" s="146">
        <v>8</v>
      </c>
      <c r="AA50" s="146"/>
      <c r="AB50" s="146"/>
      <c r="AC50" s="146">
        <v>9</v>
      </c>
      <c r="AD50" s="146"/>
      <c r="AE50" s="146"/>
      <c r="AF50" s="146">
        <v>10</v>
      </c>
      <c r="AG50" s="146"/>
      <c r="AH50" s="146"/>
      <c r="AI50" s="146">
        <v>11</v>
      </c>
      <c r="AJ50" s="146"/>
      <c r="AK50" s="146"/>
      <c r="AL50" s="146">
        <v>12</v>
      </c>
    </row>
    <row r="51" spans="2:41" hidden="1" x14ac:dyDescent="0.2">
      <c r="B51" s="71" t="s">
        <v>69</v>
      </c>
      <c r="C51" s="63" t="s">
        <v>72</v>
      </c>
      <c r="D51" s="147">
        <f>D35</f>
        <v>0</v>
      </c>
      <c r="E51" s="63">
        <f>SUM(F35)</f>
        <v>0</v>
      </c>
      <c r="H51" s="63">
        <f>SUM(I35)</f>
        <v>0</v>
      </c>
      <c r="K51" s="63">
        <f>SUM(L35)</f>
        <v>0</v>
      </c>
      <c r="N51" s="63">
        <f>SUM(O35)</f>
        <v>0</v>
      </c>
      <c r="Q51" s="63">
        <f>SUM(R35)</f>
        <v>0</v>
      </c>
      <c r="T51" s="63">
        <f>SUM(U35)</f>
        <v>0</v>
      </c>
      <c r="W51" s="63">
        <f>SUM(X35)</f>
        <v>0</v>
      </c>
      <c r="Z51" s="63">
        <f>SUM(AA35)</f>
        <v>0</v>
      </c>
      <c r="AC51" s="63">
        <f>SUM(AD35)</f>
        <v>0</v>
      </c>
      <c r="AF51" s="63">
        <f>SUM(AG35)</f>
        <v>0</v>
      </c>
      <c r="AI51" s="63">
        <f>SUM(AJ35)</f>
        <v>0</v>
      </c>
      <c r="AL51" s="63">
        <f>SUM(AM35)</f>
        <v>0</v>
      </c>
    </row>
    <row r="52" spans="2:41" hidden="1" x14ac:dyDescent="0.2">
      <c r="C52" s="70" t="s">
        <v>64</v>
      </c>
      <c r="D52" s="147">
        <f>D51</f>
        <v>0</v>
      </c>
      <c r="E52" s="70">
        <f>D52+E25</f>
        <v>0</v>
      </c>
      <c r="F52" s="70"/>
      <c r="G52" s="70"/>
      <c r="H52" s="70">
        <f>E52+H25</f>
        <v>0</v>
      </c>
      <c r="I52" s="70"/>
      <c r="J52" s="70"/>
      <c r="K52" s="70">
        <f>H52+K25</f>
        <v>0</v>
      </c>
      <c r="L52" s="70"/>
      <c r="M52" s="70"/>
      <c r="N52" s="70">
        <f>K52+N25</f>
        <v>0</v>
      </c>
      <c r="O52" s="70"/>
      <c r="P52" s="70"/>
      <c r="Q52" s="70">
        <f>N52+Q25</f>
        <v>0</v>
      </c>
      <c r="R52" s="70"/>
      <c r="S52" s="70"/>
      <c r="T52" s="70">
        <f>Q52+T25</f>
        <v>0</v>
      </c>
      <c r="U52" s="70"/>
      <c r="V52" s="70"/>
      <c r="W52" s="70">
        <f>T52+W25</f>
        <v>0</v>
      </c>
      <c r="X52" s="70"/>
      <c r="Y52" s="70"/>
      <c r="Z52" s="70">
        <f>W52+Z25</f>
        <v>0</v>
      </c>
      <c r="AA52" s="70"/>
      <c r="AB52" s="70"/>
      <c r="AC52" s="70">
        <f>Z52+AC25</f>
        <v>0</v>
      </c>
      <c r="AD52" s="70"/>
      <c r="AE52" s="70"/>
      <c r="AF52" s="70">
        <f>AC52+AF25</f>
        <v>0</v>
      </c>
      <c r="AG52" s="70"/>
      <c r="AH52" s="70"/>
      <c r="AI52" s="70">
        <f>AF52+AI25</f>
        <v>0</v>
      </c>
      <c r="AJ52" s="70"/>
      <c r="AK52" s="70"/>
      <c r="AL52" s="70">
        <f>AI52+AL25</f>
        <v>0</v>
      </c>
    </row>
    <row r="53" spans="2:41" hidden="1" x14ac:dyDescent="0.2">
      <c r="C53" s="70" t="s">
        <v>65</v>
      </c>
      <c r="D53" s="147">
        <f>D52</f>
        <v>0</v>
      </c>
      <c r="E53" s="70">
        <f>IF(RealMaaned&gt;=E50,E51,D53+E25)</f>
        <v>0</v>
      </c>
      <c r="F53" s="70"/>
      <c r="G53" s="70"/>
      <c r="H53" s="70">
        <f>IF(RealMaaned&gt;=H50,H51,E53+H25)</f>
        <v>0</v>
      </c>
      <c r="I53" s="70"/>
      <c r="J53" s="70"/>
      <c r="K53" s="70">
        <f>IF(RealMaaned&gt;=K50,K51,H53+K25)</f>
        <v>0</v>
      </c>
      <c r="L53" s="70"/>
      <c r="M53" s="70"/>
      <c r="N53" s="70">
        <f>IF(RealMaaned&gt;=N50,N51,K53+N25)</f>
        <v>0</v>
      </c>
      <c r="O53" s="70"/>
      <c r="P53" s="70"/>
      <c r="Q53" s="70">
        <f>IF(RealMaaned&gt;=Q50,Q51,N53+Q25)</f>
        <v>0</v>
      </c>
      <c r="R53" s="70"/>
      <c r="S53" s="70"/>
      <c r="T53" s="70">
        <f>IF(RealMaaned&gt;=T50,T51,Q53+T25)</f>
        <v>0</v>
      </c>
      <c r="U53" s="70"/>
      <c r="V53" s="70"/>
      <c r="W53" s="70">
        <f>IF(RealMaaned&gt;=W50,W51,T53+W25)</f>
        <v>0</v>
      </c>
      <c r="X53" s="70"/>
      <c r="Y53" s="70"/>
      <c r="Z53" s="70">
        <f>IF(RealMaaned&gt;=Z50,Z51,W53+Z25)</f>
        <v>0</v>
      </c>
      <c r="AA53" s="70"/>
      <c r="AB53" s="70"/>
      <c r="AC53" s="70">
        <f>IF(RealMaaned&gt;=AC50,AC51,Z53+AC25)</f>
        <v>0</v>
      </c>
      <c r="AD53" s="70"/>
      <c r="AE53" s="70"/>
      <c r="AF53" s="70">
        <f>IF(RealMaaned&gt;=AF50,AF51,AC53+AF25)</f>
        <v>0</v>
      </c>
      <c r="AG53" s="70"/>
      <c r="AH53" s="70"/>
      <c r="AI53" s="70">
        <f>IF(RealMaaned&gt;=AI50,AI51,AF53+AI25)</f>
        <v>0</v>
      </c>
      <c r="AJ53" s="70"/>
      <c r="AK53" s="70"/>
      <c r="AL53" s="70">
        <f>IF(RealMaaned&gt;=AL50,AL51,AI53+AL25)</f>
        <v>0</v>
      </c>
    </row>
  </sheetData>
  <sheetProtection algorithmName="SHA-512" hashValue="Je2DakjybpSN0IkcxDifCfGVb7ldYBtKBVFLocRQnUbIorrj4Lv1Rdl0EXzABKAEP8VjFPOCSh4wfX++XAkLxg==" saltValue="RxPgRw/1eOxm+yjXGWEI+w==" spinCount="100000" sheet="1" objects="1" scenarios="1"/>
  <mergeCells count="27">
    <mergeCell ref="T2:V2"/>
    <mergeCell ref="E2:G2"/>
    <mergeCell ref="H2:J2"/>
    <mergeCell ref="K2:M2"/>
    <mergeCell ref="N2:P2"/>
    <mergeCell ref="Q2:S2"/>
    <mergeCell ref="AW2:BH2"/>
    <mergeCell ref="BI2:BT2"/>
    <mergeCell ref="BU2:CF2"/>
    <mergeCell ref="E31:G31"/>
    <mergeCell ref="H31:J31"/>
    <mergeCell ref="K31:M31"/>
    <mergeCell ref="N31:P31"/>
    <mergeCell ref="Q31:S31"/>
    <mergeCell ref="T31:V31"/>
    <mergeCell ref="W31:Y31"/>
    <mergeCell ref="W2:Y2"/>
    <mergeCell ref="Z2:AB2"/>
    <mergeCell ref="AC2:AE2"/>
    <mergeCell ref="AF2:AH2"/>
    <mergeCell ref="AI2:AK2"/>
    <mergeCell ref="AL2:AN2"/>
    <mergeCell ref="Z31:AB31"/>
    <mergeCell ref="AC31:AE31"/>
    <mergeCell ref="AF31:AH31"/>
    <mergeCell ref="AI31:AK31"/>
    <mergeCell ref="AL31:AN31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2</xdr:col>
                    <xdr:colOff>3098800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B3:Z140"/>
  <sheetViews>
    <sheetView zoomScale="150" zoomScaleNormal="150" workbookViewId="0">
      <selection activeCell="F15" sqref="F15"/>
    </sheetView>
  </sheetViews>
  <sheetFormatPr baseColWidth="10" defaultColWidth="9.1640625" defaultRowHeight="15" x14ac:dyDescent="0.2"/>
  <cols>
    <col min="1" max="1" width="3.83203125" style="47" customWidth="1"/>
    <col min="2" max="2" width="16.83203125" style="47" bestFit="1" customWidth="1"/>
    <col min="3" max="3" width="11.6640625" style="47" bestFit="1" customWidth="1"/>
    <col min="4" max="4" width="1.33203125" style="47" customWidth="1"/>
    <col min="5" max="5" width="15.5" style="47" customWidth="1"/>
    <col min="6" max="6" width="12.33203125" style="47" bestFit="1" customWidth="1"/>
    <col min="7" max="7" width="4.33203125" style="47" customWidth="1"/>
    <col min="8" max="8" width="11.33203125" style="47" customWidth="1"/>
    <col min="9" max="13" width="14.6640625" style="47" customWidth="1"/>
    <col min="14" max="14" width="4.6640625" style="47" customWidth="1"/>
    <col min="15" max="15" width="13.5" style="47" customWidth="1"/>
    <col min="16" max="16" width="5" style="47" customWidth="1"/>
    <col min="17" max="17" width="14.5" style="47" bestFit="1" customWidth="1"/>
    <col min="18" max="19" width="13.5" style="47" bestFit="1" customWidth="1"/>
    <col min="20" max="20" width="9.1640625" style="47"/>
    <col min="21" max="21" width="22.6640625" style="47" bestFit="1" customWidth="1"/>
    <col min="27" max="16384" width="9.1640625" style="47"/>
  </cols>
  <sheetData>
    <row r="3" spans="2:17" ht="16" thickBot="1" x14ac:dyDescent="0.25"/>
    <row r="4" spans="2:17" ht="16" thickBot="1" x14ac:dyDescent="0.25">
      <c r="B4" s="47" t="s">
        <v>119</v>
      </c>
      <c r="C4" s="148">
        <v>200000</v>
      </c>
      <c r="E4" s="47" t="s">
        <v>121</v>
      </c>
      <c r="F4" s="150">
        <v>44986</v>
      </c>
      <c r="H4" s="61" t="s">
        <v>126</v>
      </c>
      <c r="I4" s="48" t="s">
        <v>115</v>
      </c>
      <c r="J4" s="49" t="s">
        <v>113</v>
      </c>
      <c r="K4" s="49" t="s">
        <v>114</v>
      </c>
      <c r="L4" s="49" t="s">
        <v>116</v>
      </c>
      <c r="M4" s="50" t="s">
        <v>118</v>
      </c>
      <c r="O4" s="47" t="s">
        <v>123</v>
      </c>
      <c r="Q4" s="56">
        <f>C4/C8</f>
        <v>16666.666666666668</v>
      </c>
    </row>
    <row r="5" spans="2:17" ht="16" thickBot="1" x14ac:dyDescent="0.25">
      <c r="B5" s="47" t="s">
        <v>120</v>
      </c>
      <c r="C5" s="149">
        <v>0.04</v>
      </c>
      <c r="E5" s="47" t="s">
        <v>122</v>
      </c>
      <c r="F5" s="150">
        <v>45716</v>
      </c>
      <c r="H5" s="47">
        <v>0</v>
      </c>
      <c r="I5" s="51">
        <f>F4</f>
        <v>44986</v>
      </c>
      <c r="J5" s="52"/>
      <c r="K5" s="52"/>
      <c r="L5" s="52">
        <f>C4*-1</f>
        <v>-200000</v>
      </c>
      <c r="M5" s="52">
        <f>C4</f>
        <v>200000</v>
      </c>
      <c r="O5" s="47" t="s">
        <v>117</v>
      </c>
      <c r="Q5" s="56">
        <f>SUM(PMT(C5/12,C8,C4)*-1)-Q4</f>
        <v>363.31417244491604</v>
      </c>
    </row>
    <row r="6" spans="2:17" ht="16" thickBot="1" x14ac:dyDescent="0.25">
      <c r="F6" s="62">
        <f>(F5-F4)/364</f>
        <v>2.0054945054945055</v>
      </c>
      <c r="H6" s="47">
        <v>1</v>
      </c>
      <c r="I6" s="51">
        <f>EOMONTH(F4,0)</f>
        <v>45016</v>
      </c>
      <c r="J6" s="52">
        <f>IF($F$8*12&lt;H6,$Q$7-K6,0)</f>
        <v>0</v>
      </c>
      <c r="K6" s="52">
        <f t="shared" ref="K6:K37" si="0">M5*$C$5/12</f>
        <v>666.66666666666663</v>
      </c>
      <c r="L6" s="52">
        <f t="shared" ref="L6:L53" si="1">SUM(J6:K6)</f>
        <v>666.66666666666663</v>
      </c>
      <c r="M6" s="52">
        <f t="shared" ref="M6:M37" si="2">M5-J6</f>
        <v>200000</v>
      </c>
    </row>
    <row r="7" spans="2:17" ht="16" thickBot="1" x14ac:dyDescent="0.25">
      <c r="H7" s="47">
        <v>2</v>
      </c>
      <c r="I7" s="51">
        <f>EOMONTH(I6+1,0)</f>
        <v>45046</v>
      </c>
      <c r="J7" s="52">
        <f>IF($F$8*12&lt;H7,$Q$7-K7,0)</f>
        <v>0</v>
      </c>
      <c r="K7" s="52">
        <f>M6*$C$5/12</f>
        <v>666.66666666666663</v>
      </c>
      <c r="L7" s="52">
        <f t="shared" si="1"/>
        <v>666.66666666666663</v>
      </c>
      <c r="M7" s="52">
        <f>M6-J7</f>
        <v>200000</v>
      </c>
      <c r="O7" s="47" t="s">
        <v>124</v>
      </c>
      <c r="Q7" s="56">
        <f>SUM(Q4,Q5)</f>
        <v>17029.980839111584</v>
      </c>
    </row>
    <row r="8" spans="2:17" ht="16" thickBot="1" x14ac:dyDescent="0.25">
      <c r="B8" s="47" t="s">
        <v>128</v>
      </c>
      <c r="C8" s="53">
        <f>SUM((YEAR($F$5)-YEAR($F$4))*12+MONTH($F$5)-MONTH($F$4),F8*-12)+1</f>
        <v>12</v>
      </c>
      <c r="E8" s="47" t="s">
        <v>125</v>
      </c>
      <c r="F8" s="151">
        <v>1</v>
      </c>
      <c r="H8" s="47">
        <v>3</v>
      </c>
      <c r="I8" s="51">
        <f t="shared" ref="I8:I54" si="3">EOMONTH(I7+1,0)</f>
        <v>45077</v>
      </c>
      <c r="J8" s="52">
        <f>IF($F$8*12&lt;H8,$Q$7-K8,0)</f>
        <v>0</v>
      </c>
      <c r="K8" s="52">
        <f t="shared" si="0"/>
        <v>666.66666666666663</v>
      </c>
      <c r="L8" s="52">
        <f t="shared" si="1"/>
        <v>666.66666666666663</v>
      </c>
      <c r="M8" s="52">
        <f t="shared" si="2"/>
        <v>200000</v>
      </c>
      <c r="O8" s="47" t="s">
        <v>129</v>
      </c>
      <c r="Q8" s="56">
        <f>Q5*C8</f>
        <v>4359.7700693389925</v>
      </c>
    </row>
    <row r="9" spans="2:17" ht="16" thickBot="1" x14ac:dyDescent="0.25">
      <c r="B9" s="47" t="s">
        <v>127</v>
      </c>
      <c r="C9" s="53">
        <f>SUM((YEAR($F$5)-YEAR($F$4))*12+MONTH($F$5)-MONTH($F$4))+1</f>
        <v>24</v>
      </c>
      <c r="E9" s="54"/>
      <c r="F9" s="54"/>
      <c r="H9" s="47">
        <v>4</v>
      </c>
      <c r="I9" s="51">
        <f t="shared" si="3"/>
        <v>45107</v>
      </c>
      <c r="J9" s="52">
        <f>IF($F$8*12&lt;H9,$Q$7-K9,0)</f>
        <v>0</v>
      </c>
      <c r="K9" s="52">
        <f t="shared" si="0"/>
        <v>666.66666666666663</v>
      </c>
      <c r="L9" s="52">
        <f t="shared" si="1"/>
        <v>666.66666666666663</v>
      </c>
      <c r="M9" s="52">
        <f t="shared" si="2"/>
        <v>200000</v>
      </c>
    </row>
    <row r="10" spans="2:17" ht="16" thickBot="1" x14ac:dyDescent="0.25">
      <c r="F10" s="54"/>
      <c r="H10" s="47">
        <v>5</v>
      </c>
      <c r="I10" s="51">
        <f t="shared" si="3"/>
        <v>45138</v>
      </c>
      <c r="J10" s="52">
        <f>IF($F$8*12&lt;H10,$Q$7-K10,0)</f>
        <v>0</v>
      </c>
      <c r="K10" s="52">
        <f t="shared" si="0"/>
        <v>666.66666666666663</v>
      </c>
      <c r="L10" s="52">
        <f t="shared" si="1"/>
        <v>666.66666666666663</v>
      </c>
      <c r="M10" s="52">
        <f t="shared" si="2"/>
        <v>200000</v>
      </c>
      <c r="O10" s="47" t="s">
        <v>130</v>
      </c>
      <c r="Q10" s="56">
        <f>SUMIF(H5:H1000,"&lt;="&amp;F8*12,K5:K1000)</f>
        <v>8000.0000000000009</v>
      </c>
    </row>
    <row r="11" spans="2:17" ht="16" thickBot="1" x14ac:dyDescent="0.25">
      <c r="F11" s="54"/>
      <c r="H11" s="47">
        <v>6</v>
      </c>
      <c r="I11" s="51">
        <f t="shared" si="3"/>
        <v>45169</v>
      </c>
      <c r="J11" s="52">
        <f>IF($F$8*12&lt;H11,$Q$7-K11,0)</f>
        <v>0</v>
      </c>
      <c r="K11" s="52">
        <f t="shared" si="0"/>
        <v>666.66666666666663</v>
      </c>
      <c r="L11" s="52">
        <f t="shared" si="1"/>
        <v>666.66666666666663</v>
      </c>
      <c r="M11" s="52">
        <f t="shared" si="2"/>
        <v>200000</v>
      </c>
    </row>
    <row r="12" spans="2:17" ht="16" thickBot="1" x14ac:dyDescent="0.25">
      <c r="E12" s="54"/>
      <c r="F12" s="54"/>
      <c r="H12" s="47">
        <v>7</v>
      </c>
      <c r="I12" s="51">
        <f t="shared" si="3"/>
        <v>45199</v>
      </c>
      <c r="J12" s="52">
        <f>IF($F$8*12&lt;H12,$Q$7-K12,0)</f>
        <v>0</v>
      </c>
      <c r="K12" s="52">
        <f t="shared" si="0"/>
        <v>666.66666666666663</v>
      </c>
      <c r="L12" s="52">
        <f t="shared" si="1"/>
        <v>666.66666666666663</v>
      </c>
      <c r="M12" s="52">
        <f t="shared" si="2"/>
        <v>200000</v>
      </c>
      <c r="O12" s="47" t="s">
        <v>131</v>
      </c>
      <c r="Q12" s="56">
        <f>SUM(Q10,Q8)</f>
        <v>12359.770069338992</v>
      </c>
    </row>
    <row r="13" spans="2:17" x14ac:dyDescent="0.2">
      <c r="H13" s="47">
        <v>8</v>
      </c>
      <c r="I13" s="51">
        <f t="shared" si="3"/>
        <v>45230</v>
      </c>
      <c r="J13" s="52">
        <f>IF($F$8*12&lt;H13,$Q$7-K13,0)</f>
        <v>0</v>
      </c>
      <c r="K13" s="52">
        <f t="shared" si="0"/>
        <v>666.66666666666663</v>
      </c>
      <c r="L13" s="52">
        <f t="shared" si="1"/>
        <v>666.66666666666663</v>
      </c>
      <c r="M13" s="52">
        <f t="shared" si="2"/>
        <v>200000</v>
      </c>
    </row>
    <row r="14" spans="2:17" x14ac:dyDescent="0.2">
      <c r="H14" s="47">
        <v>9</v>
      </c>
      <c r="I14" s="51">
        <f t="shared" si="3"/>
        <v>45260</v>
      </c>
      <c r="J14" s="52">
        <f>IF($F$8*12&lt;H14,$Q$7-K14,0)</f>
        <v>0</v>
      </c>
      <c r="K14" s="52">
        <f t="shared" si="0"/>
        <v>666.66666666666663</v>
      </c>
      <c r="L14" s="52">
        <f t="shared" si="1"/>
        <v>666.66666666666663</v>
      </c>
      <c r="M14" s="52">
        <f t="shared" si="2"/>
        <v>200000</v>
      </c>
    </row>
    <row r="15" spans="2:17" x14ac:dyDescent="0.2">
      <c r="H15" s="47">
        <v>10</v>
      </c>
      <c r="I15" s="51">
        <f t="shared" si="3"/>
        <v>45291</v>
      </c>
      <c r="J15" s="52">
        <f>IF($F$8*12&lt;H15,$Q$7-K15,0)</f>
        <v>0</v>
      </c>
      <c r="K15" s="52">
        <f t="shared" si="0"/>
        <v>666.66666666666663</v>
      </c>
      <c r="L15" s="52">
        <f t="shared" si="1"/>
        <v>666.66666666666663</v>
      </c>
      <c r="M15" s="52">
        <f t="shared" si="2"/>
        <v>200000</v>
      </c>
    </row>
    <row r="16" spans="2:17" x14ac:dyDescent="0.2">
      <c r="H16" s="47">
        <v>11</v>
      </c>
      <c r="I16" s="51">
        <f t="shared" si="3"/>
        <v>45322</v>
      </c>
      <c r="J16" s="52">
        <f>IF($F$8*12&lt;H16,$Q$7-K16,0)</f>
        <v>0</v>
      </c>
      <c r="K16" s="52">
        <f t="shared" si="0"/>
        <v>666.66666666666663</v>
      </c>
      <c r="L16" s="52">
        <f t="shared" si="1"/>
        <v>666.66666666666663</v>
      </c>
      <c r="M16" s="52">
        <f t="shared" si="2"/>
        <v>200000</v>
      </c>
    </row>
    <row r="17" spans="8:20" x14ac:dyDescent="0.2">
      <c r="H17" s="47">
        <v>12</v>
      </c>
      <c r="I17" s="51">
        <f t="shared" si="3"/>
        <v>45351</v>
      </c>
      <c r="J17" s="52">
        <f>IF($F$8*12&lt;H17,$Q$7-K17,0)</f>
        <v>0</v>
      </c>
      <c r="K17" s="52">
        <f t="shared" si="0"/>
        <v>666.66666666666663</v>
      </c>
      <c r="L17" s="52">
        <f t="shared" si="1"/>
        <v>666.66666666666663</v>
      </c>
      <c r="M17" s="52">
        <f t="shared" si="2"/>
        <v>200000</v>
      </c>
    </row>
    <row r="18" spans="8:20" x14ac:dyDescent="0.2">
      <c r="H18" s="47">
        <v>13</v>
      </c>
      <c r="I18" s="51">
        <f t="shared" si="3"/>
        <v>45382</v>
      </c>
      <c r="J18" s="52">
        <f>IF($F$8*12&lt;H18,$Q$7-K18,0)</f>
        <v>16363.314172444918</v>
      </c>
      <c r="K18" s="52">
        <f t="shared" si="0"/>
        <v>666.66666666666663</v>
      </c>
      <c r="L18" s="52">
        <f t="shared" si="1"/>
        <v>17029.980839111584</v>
      </c>
      <c r="M18" s="52">
        <f t="shared" si="2"/>
        <v>183636.68582755508</v>
      </c>
    </row>
    <row r="19" spans="8:20" x14ac:dyDescent="0.2">
      <c r="H19" s="47">
        <v>14</v>
      </c>
      <c r="I19" s="51">
        <f t="shared" si="3"/>
        <v>45412</v>
      </c>
      <c r="J19" s="52">
        <f>IF($F$8*12&lt;H19,$Q$7-K19,0)</f>
        <v>16417.858553019734</v>
      </c>
      <c r="K19" s="52">
        <f t="shared" si="0"/>
        <v>612.12228609185024</v>
      </c>
      <c r="L19" s="52">
        <f t="shared" si="1"/>
        <v>17029.980839111584</v>
      </c>
      <c r="M19" s="52">
        <f t="shared" si="2"/>
        <v>167218.82727453535</v>
      </c>
    </row>
    <row r="20" spans="8:20" x14ac:dyDescent="0.2">
      <c r="H20" s="47">
        <v>15</v>
      </c>
      <c r="I20" s="51">
        <f t="shared" si="3"/>
        <v>45443</v>
      </c>
      <c r="J20" s="52">
        <f>IF($F$8*12&lt;H20,$Q$7-K20,0)</f>
        <v>16472.584748196467</v>
      </c>
      <c r="K20" s="52">
        <f t="shared" si="0"/>
        <v>557.39609091511784</v>
      </c>
      <c r="L20" s="52">
        <f t="shared" si="1"/>
        <v>17029.980839111584</v>
      </c>
      <c r="M20" s="52">
        <f t="shared" si="2"/>
        <v>150746.24252633887</v>
      </c>
    </row>
    <row r="21" spans="8:20" x14ac:dyDescent="0.2">
      <c r="H21" s="47">
        <v>16</v>
      </c>
      <c r="I21" s="51">
        <f t="shared" si="3"/>
        <v>45473</v>
      </c>
      <c r="J21" s="52">
        <f>IF($F$8*12&lt;H21,$Q$7-K21,0)</f>
        <v>16527.493364023787</v>
      </c>
      <c r="K21" s="52">
        <f t="shared" si="0"/>
        <v>502.48747508779621</v>
      </c>
      <c r="L21" s="52">
        <f t="shared" si="1"/>
        <v>17029.980839111584</v>
      </c>
      <c r="M21" s="52">
        <f t="shared" si="2"/>
        <v>134218.7491623151</v>
      </c>
    </row>
    <row r="22" spans="8:20" x14ac:dyDescent="0.2">
      <c r="H22" s="47">
        <v>17</v>
      </c>
      <c r="I22" s="51">
        <f t="shared" si="3"/>
        <v>45504</v>
      </c>
      <c r="J22" s="52">
        <f>IF($F$8*12&lt;H22,$Q$7-K22,0)</f>
        <v>16582.585008570535</v>
      </c>
      <c r="K22" s="52">
        <f t="shared" si="0"/>
        <v>447.39583054105037</v>
      </c>
      <c r="L22" s="52">
        <f t="shared" si="1"/>
        <v>17029.980839111584</v>
      </c>
      <c r="M22" s="52">
        <f t="shared" si="2"/>
        <v>117636.16415374457</v>
      </c>
    </row>
    <row r="23" spans="8:20" x14ac:dyDescent="0.2">
      <c r="H23" s="47">
        <v>18</v>
      </c>
      <c r="I23" s="51">
        <f t="shared" si="3"/>
        <v>45535</v>
      </c>
      <c r="J23" s="52">
        <f>IF($F$8*12&lt;H23,$Q$7-K23,0)</f>
        <v>16637.860291932437</v>
      </c>
      <c r="K23" s="52">
        <f t="shared" si="0"/>
        <v>392.12054717914856</v>
      </c>
      <c r="L23" s="52">
        <f t="shared" si="1"/>
        <v>17029.980839111584</v>
      </c>
      <c r="M23" s="52">
        <f t="shared" si="2"/>
        <v>100998.30386181214</v>
      </c>
    </row>
    <row r="24" spans="8:20" x14ac:dyDescent="0.2">
      <c r="H24" s="47">
        <v>19</v>
      </c>
      <c r="I24" s="51">
        <f t="shared" si="3"/>
        <v>45565</v>
      </c>
      <c r="J24" s="52">
        <f>IF($F$8*12&lt;H24,$Q$7-K24,0)</f>
        <v>16693.319826238876</v>
      </c>
      <c r="K24" s="52">
        <f t="shared" si="0"/>
        <v>336.66101287270709</v>
      </c>
      <c r="L24" s="52">
        <f t="shared" si="1"/>
        <v>17029.980839111584</v>
      </c>
      <c r="M24" s="52">
        <f t="shared" si="2"/>
        <v>84304.984035573259</v>
      </c>
      <c r="T24" s="55"/>
    </row>
    <row r="25" spans="8:20" x14ac:dyDescent="0.2">
      <c r="H25" s="47">
        <v>20</v>
      </c>
      <c r="I25" s="51">
        <f t="shared" si="3"/>
        <v>45596</v>
      </c>
      <c r="J25" s="52">
        <f>IF($F$8*12&lt;H25,$Q$7-K25,0)</f>
        <v>16748.964225659674</v>
      </c>
      <c r="K25" s="52">
        <f t="shared" si="0"/>
        <v>281.01661345191087</v>
      </c>
      <c r="L25" s="52">
        <f t="shared" si="1"/>
        <v>17029.980839111584</v>
      </c>
      <c r="M25" s="52">
        <f t="shared" si="2"/>
        <v>67556.019809913589</v>
      </c>
    </row>
    <row r="26" spans="8:20" x14ac:dyDescent="0.2">
      <c r="H26" s="47">
        <v>21</v>
      </c>
      <c r="I26" s="51">
        <f t="shared" si="3"/>
        <v>45626</v>
      </c>
      <c r="J26" s="52">
        <f>IF($F$8*12&lt;H26,$Q$7-K26,0)</f>
        <v>16804.794106411871</v>
      </c>
      <c r="K26" s="52">
        <f t="shared" si="0"/>
        <v>225.18673269971194</v>
      </c>
      <c r="L26" s="52">
        <f t="shared" si="1"/>
        <v>17029.980839111584</v>
      </c>
      <c r="M26" s="52">
        <f t="shared" si="2"/>
        <v>50751.225703501717</v>
      </c>
    </row>
    <row r="27" spans="8:20" x14ac:dyDescent="0.2">
      <c r="H27" s="47">
        <v>22</v>
      </c>
      <c r="I27" s="51">
        <f t="shared" si="3"/>
        <v>45657</v>
      </c>
      <c r="J27" s="52">
        <f>IF($F$8*12&lt;H27,$Q$7-K27,0)</f>
        <v>16860.810086766578</v>
      </c>
      <c r="K27" s="52">
        <f t="shared" si="0"/>
        <v>169.17075234500572</v>
      </c>
      <c r="L27" s="52">
        <f t="shared" si="1"/>
        <v>17029.980839111584</v>
      </c>
      <c r="M27" s="52">
        <f t="shared" si="2"/>
        <v>33890.415616735139</v>
      </c>
    </row>
    <row r="28" spans="8:20" x14ac:dyDescent="0.2">
      <c r="H28" s="47">
        <v>23</v>
      </c>
      <c r="I28" s="51">
        <f t="shared" si="3"/>
        <v>45688</v>
      </c>
      <c r="J28" s="52">
        <f>IF($F$8*12&lt;H28,$Q$7-K28,0)</f>
        <v>16917.012787055799</v>
      </c>
      <c r="K28" s="52">
        <f t="shared" si="0"/>
        <v>112.9680520557838</v>
      </c>
      <c r="L28" s="52">
        <f t="shared" si="1"/>
        <v>17029.980839111584</v>
      </c>
      <c r="M28" s="52">
        <f t="shared" si="2"/>
        <v>16973.40282967934</v>
      </c>
    </row>
    <row r="29" spans="8:20" x14ac:dyDescent="0.2">
      <c r="H29" s="47">
        <v>24</v>
      </c>
      <c r="I29" s="51">
        <f t="shared" si="3"/>
        <v>45716</v>
      </c>
      <c r="J29" s="52">
        <f>IF($F$8*12&lt;H29,$Q$7-K29,0)</f>
        <v>16973.402829679319</v>
      </c>
      <c r="K29" s="52">
        <f t="shared" si="0"/>
        <v>56.578009432264473</v>
      </c>
      <c r="L29" s="52">
        <f t="shared" si="1"/>
        <v>17029.980839111584</v>
      </c>
      <c r="M29" s="52">
        <f t="shared" si="2"/>
        <v>0</v>
      </c>
    </row>
    <row r="30" spans="8:20" hidden="1" x14ac:dyDescent="0.2">
      <c r="H30" s="47">
        <v>25</v>
      </c>
      <c r="I30" s="51">
        <f t="shared" si="3"/>
        <v>45747</v>
      </c>
      <c r="J30" s="52">
        <f>IF($F$8*12&lt;H30,$Q$7-K30,0)</f>
        <v>17029.980839111584</v>
      </c>
      <c r="K30" s="52">
        <f t="shared" si="0"/>
        <v>0</v>
      </c>
      <c r="L30" s="52">
        <f t="shared" si="1"/>
        <v>17029.980839111584</v>
      </c>
      <c r="M30" s="52">
        <f t="shared" si="2"/>
        <v>-17029.980839111584</v>
      </c>
    </row>
    <row r="31" spans="8:20" hidden="1" x14ac:dyDescent="0.2">
      <c r="H31" s="47">
        <v>26</v>
      </c>
      <c r="I31" s="51">
        <f t="shared" si="3"/>
        <v>45777</v>
      </c>
      <c r="J31" s="52">
        <f>IF($F$8*12&lt;H31,$Q$7-K31,0)</f>
        <v>17086.747441908621</v>
      </c>
      <c r="K31" s="52">
        <f t="shared" si="0"/>
        <v>-56.766602797038615</v>
      </c>
      <c r="L31" s="52">
        <f t="shared" si="1"/>
        <v>17029.980839111584</v>
      </c>
      <c r="M31" s="52">
        <f t="shared" si="2"/>
        <v>-34116.728281020201</v>
      </c>
    </row>
    <row r="32" spans="8:20" hidden="1" x14ac:dyDescent="0.2">
      <c r="H32" s="47">
        <v>27</v>
      </c>
      <c r="I32" s="51">
        <f t="shared" si="3"/>
        <v>45808</v>
      </c>
      <c r="J32" s="52">
        <f>IF($F$8*12&lt;H32,$Q$7-K32,0)</f>
        <v>17143.703266714983</v>
      </c>
      <c r="K32" s="52">
        <f t="shared" si="0"/>
        <v>-113.72242760340067</v>
      </c>
      <c r="L32" s="52">
        <f t="shared" si="1"/>
        <v>17029.980839111584</v>
      </c>
      <c r="M32" s="52">
        <f t="shared" si="2"/>
        <v>-51260.431547735185</v>
      </c>
    </row>
    <row r="33" spans="8:13" hidden="1" x14ac:dyDescent="0.2">
      <c r="H33" s="47">
        <v>28</v>
      </c>
      <c r="I33" s="51">
        <f t="shared" si="3"/>
        <v>45838</v>
      </c>
      <c r="J33" s="52">
        <f>IF($F$8*12&lt;H33,$Q$7-K33,0)</f>
        <v>17200.8489442707</v>
      </c>
      <c r="K33" s="52">
        <f t="shared" si="0"/>
        <v>-170.86810515911728</v>
      </c>
      <c r="L33" s="52">
        <f t="shared" si="1"/>
        <v>17029.980839111584</v>
      </c>
      <c r="M33" s="52">
        <f t="shared" si="2"/>
        <v>-68461.280492005884</v>
      </c>
    </row>
    <row r="34" spans="8:13" hidden="1" x14ac:dyDescent="0.2">
      <c r="H34" s="47">
        <v>29</v>
      </c>
      <c r="I34" s="51">
        <f t="shared" si="3"/>
        <v>45869</v>
      </c>
      <c r="J34" s="52">
        <f>IF($F$8*12&lt;H34,$Q$7-K34,0)</f>
        <v>17258.18510741827</v>
      </c>
      <c r="K34" s="52">
        <f t="shared" si="0"/>
        <v>-228.20426830668626</v>
      </c>
      <c r="L34" s="52">
        <f t="shared" si="1"/>
        <v>17029.980839111584</v>
      </c>
      <c r="M34" s="52">
        <f t="shared" si="2"/>
        <v>-85719.465599424148</v>
      </c>
    </row>
    <row r="35" spans="8:13" hidden="1" x14ac:dyDescent="0.2">
      <c r="H35" s="47">
        <v>30</v>
      </c>
      <c r="I35" s="51">
        <f t="shared" si="3"/>
        <v>45900</v>
      </c>
      <c r="J35" s="52">
        <f>IF($F$8*12&lt;H35,$Q$7-K35,0)</f>
        <v>17315.712391109664</v>
      </c>
      <c r="K35" s="52">
        <f t="shared" si="0"/>
        <v>-285.73155199808053</v>
      </c>
      <c r="L35" s="52">
        <f t="shared" si="1"/>
        <v>17029.980839111584</v>
      </c>
      <c r="M35" s="52">
        <f t="shared" si="2"/>
        <v>-103035.17799053382</v>
      </c>
    </row>
    <row r="36" spans="8:13" hidden="1" x14ac:dyDescent="0.2">
      <c r="H36" s="47">
        <v>31</v>
      </c>
      <c r="I36" s="51">
        <f t="shared" si="3"/>
        <v>45930</v>
      </c>
      <c r="J36" s="52">
        <f>IF($F$8*12&lt;H36,$Q$7-K36,0)</f>
        <v>17373.431432413363</v>
      </c>
      <c r="K36" s="52">
        <f t="shared" si="0"/>
        <v>-343.45059330177941</v>
      </c>
      <c r="L36" s="52">
        <f t="shared" si="1"/>
        <v>17029.980839111584</v>
      </c>
      <c r="M36" s="52">
        <f t="shared" si="2"/>
        <v>-120408.60942294718</v>
      </c>
    </row>
    <row r="37" spans="8:13" hidden="1" x14ac:dyDescent="0.2">
      <c r="H37" s="47">
        <v>32</v>
      </c>
      <c r="I37" s="51">
        <f t="shared" si="3"/>
        <v>45961</v>
      </c>
      <c r="J37" s="52">
        <f>IF($F$8*12&lt;H37,$Q$7-K37,0)</f>
        <v>17431.342870521406</v>
      </c>
      <c r="K37" s="52">
        <f t="shared" si="0"/>
        <v>-401.36203140982394</v>
      </c>
      <c r="L37" s="52">
        <f t="shared" si="1"/>
        <v>17029.980839111584</v>
      </c>
      <c r="M37" s="52">
        <f t="shared" si="2"/>
        <v>-137839.95229346858</v>
      </c>
    </row>
    <row r="38" spans="8:13" hidden="1" x14ac:dyDescent="0.2">
      <c r="H38" s="47">
        <v>33</v>
      </c>
      <c r="I38" s="51">
        <f t="shared" si="3"/>
        <v>45991</v>
      </c>
      <c r="J38" s="52">
        <f>IF($F$8*12&lt;H38,$Q$7-K38,0)</f>
        <v>17489.447346756479</v>
      </c>
      <c r="K38" s="52">
        <f t="shared" ref="K38:K69" si="4">M37*$C$5/12</f>
        <v>-459.46650764489527</v>
      </c>
      <c r="L38" s="52">
        <f t="shared" si="1"/>
        <v>17029.980839111584</v>
      </c>
      <c r="M38" s="52">
        <f t="shared" ref="M38:M54" si="5">M37-J38</f>
        <v>-155329.39964022505</v>
      </c>
    </row>
    <row r="39" spans="8:13" hidden="1" x14ac:dyDescent="0.2">
      <c r="H39" s="47">
        <v>34</v>
      </c>
      <c r="I39" s="51">
        <f t="shared" si="3"/>
        <v>46022</v>
      </c>
      <c r="J39" s="52">
        <f>IF($F$8*12&lt;H39,$Q$7-K39,0)</f>
        <v>17547.745504579001</v>
      </c>
      <c r="K39" s="52">
        <f t="shared" si="4"/>
        <v>-517.76466546741688</v>
      </c>
      <c r="L39" s="52">
        <f t="shared" si="1"/>
        <v>17029.980839111584</v>
      </c>
      <c r="M39" s="52">
        <f t="shared" si="5"/>
        <v>-172877.14514480406</v>
      </c>
    </row>
    <row r="40" spans="8:13" hidden="1" x14ac:dyDescent="0.2">
      <c r="H40" s="47">
        <v>35</v>
      </c>
      <c r="I40" s="51">
        <f t="shared" si="3"/>
        <v>46053</v>
      </c>
      <c r="J40" s="52">
        <f>IF($F$8*12&lt;H40,$Q$7-K40,0)</f>
        <v>17606.237989594265</v>
      </c>
      <c r="K40" s="52">
        <f t="shared" si="4"/>
        <v>-576.25715048268023</v>
      </c>
      <c r="L40" s="52">
        <f t="shared" si="1"/>
        <v>17029.980839111584</v>
      </c>
      <c r="M40" s="52">
        <f t="shared" si="5"/>
        <v>-190483.38313439832</v>
      </c>
    </row>
    <row r="41" spans="8:13" hidden="1" x14ac:dyDescent="0.2">
      <c r="H41" s="47">
        <v>36</v>
      </c>
      <c r="I41" s="51">
        <f t="shared" si="3"/>
        <v>46081</v>
      </c>
      <c r="J41" s="52">
        <f>IF($F$8*12&lt;H41,$Q$7-K41,0)</f>
        <v>17664.925449559578</v>
      </c>
      <c r="K41" s="52">
        <f t="shared" si="4"/>
        <v>-634.94461044799448</v>
      </c>
      <c r="L41" s="52">
        <f t="shared" si="1"/>
        <v>17029.980839111584</v>
      </c>
      <c r="M41" s="52">
        <f t="shared" si="5"/>
        <v>-208148.3085839579</v>
      </c>
    </row>
    <row r="42" spans="8:13" hidden="1" x14ac:dyDescent="0.2">
      <c r="H42" s="47">
        <v>37</v>
      </c>
      <c r="I42" s="51">
        <f t="shared" si="3"/>
        <v>46112</v>
      </c>
      <c r="J42" s="52">
        <f>IF($F$8*12&lt;H42,$Q$7-K42,0)</f>
        <v>17723.808534391443</v>
      </c>
      <c r="K42" s="52">
        <f t="shared" si="4"/>
        <v>-693.82769527985965</v>
      </c>
      <c r="L42" s="52">
        <f t="shared" si="1"/>
        <v>17029.980839111584</v>
      </c>
      <c r="M42" s="52">
        <f t="shared" si="5"/>
        <v>-225872.11711834936</v>
      </c>
    </row>
    <row r="43" spans="8:13" hidden="1" x14ac:dyDescent="0.2">
      <c r="H43" s="47">
        <v>38</v>
      </c>
      <c r="I43" s="51">
        <f t="shared" si="3"/>
        <v>46142</v>
      </c>
      <c r="J43" s="52">
        <f>IF($F$8*12&lt;H43,$Q$7-K43,0)</f>
        <v>17782.88789617275</v>
      </c>
      <c r="K43" s="52">
        <f t="shared" si="4"/>
        <v>-752.90705706116444</v>
      </c>
      <c r="L43" s="52">
        <f t="shared" si="1"/>
        <v>17029.980839111584</v>
      </c>
      <c r="M43" s="52">
        <f t="shared" si="5"/>
        <v>-243655.00501452212</v>
      </c>
    </row>
    <row r="44" spans="8:13" hidden="1" x14ac:dyDescent="0.2">
      <c r="H44" s="47">
        <v>39</v>
      </c>
      <c r="I44" s="51">
        <f t="shared" si="3"/>
        <v>46173</v>
      </c>
      <c r="J44" s="52">
        <f>IF($F$8*12&lt;H44,$Q$7-K44,0)</f>
        <v>17842.16418915999</v>
      </c>
      <c r="K44" s="52">
        <f t="shared" si="4"/>
        <v>-812.18335004840708</v>
      </c>
      <c r="L44" s="52">
        <f t="shared" si="1"/>
        <v>17029.980839111584</v>
      </c>
      <c r="M44" s="52">
        <f t="shared" si="5"/>
        <v>-261497.1692036821</v>
      </c>
    </row>
    <row r="45" spans="8:13" hidden="1" x14ac:dyDescent="0.2">
      <c r="H45" s="47">
        <v>40</v>
      </c>
      <c r="I45" s="51">
        <f t="shared" si="3"/>
        <v>46203</v>
      </c>
      <c r="J45" s="52">
        <f>IF($F$8*12&lt;H45,$Q$7-K45,0)</f>
        <v>17901.638069790526</v>
      </c>
      <c r="K45" s="52">
        <f t="shared" si="4"/>
        <v>-871.65723067894032</v>
      </c>
      <c r="L45" s="52">
        <f t="shared" si="1"/>
        <v>17029.980839111588</v>
      </c>
      <c r="M45" s="52">
        <f t="shared" si="5"/>
        <v>-279398.80727347266</v>
      </c>
    </row>
    <row r="46" spans="8:13" hidden="1" x14ac:dyDescent="0.2">
      <c r="H46" s="47">
        <v>41</v>
      </c>
      <c r="I46" s="51">
        <f t="shared" si="3"/>
        <v>46234</v>
      </c>
      <c r="J46" s="52">
        <f>IF($F$8*12&lt;H46,$Q$7-K46,0)</f>
        <v>17961.310196689825</v>
      </c>
      <c r="K46" s="52">
        <f t="shared" si="4"/>
        <v>-931.32935757824225</v>
      </c>
      <c r="L46" s="52">
        <f t="shared" si="1"/>
        <v>17029.980839111584</v>
      </c>
      <c r="M46" s="52">
        <f t="shared" si="5"/>
        <v>-297360.11747016245</v>
      </c>
    </row>
    <row r="47" spans="8:13" hidden="1" x14ac:dyDescent="0.2">
      <c r="H47" s="47">
        <v>42</v>
      </c>
      <c r="I47" s="51">
        <f t="shared" si="3"/>
        <v>46265</v>
      </c>
      <c r="J47" s="52">
        <f>IF($F$8*12&lt;H47,$Q$7-K47,0)</f>
        <v>18021.181230678791</v>
      </c>
      <c r="K47" s="52">
        <f t="shared" si="4"/>
        <v>-991.20039156720816</v>
      </c>
      <c r="L47" s="52">
        <f t="shared" si="1"/>
        <v>17029.980839111584</v>
      </c>
      <c r="M47" s="52">
        <f t="shared" si="5"/>
        <v>-315381.29870084126</v>
      </c>
    </row>
    <row r="48" spans="8:13" hidden="1" x14ac:dyDescent="0.2">
      <c r="H48" s="47">
        <v>43</v>
      </c>
      <c r="I48" s="51">
        <f t="shared" si="3"/>
        <v>46295</v>
      </c>
      <c r="J48" s="52">
        <f>IF($F$8*12&lt;H48,$Q$7-K48,0)</f>
        <v>18081.251834781055</v>
      </c>
      <c r="K48" s="52">
        <f t="shared" si="4"/>
        <v>-1051.2709956694709</v>
      </c>
      <c r="L48" s="52">
        <f t="shared" si="1"/>
        <v>17029.980839111584</v>
      </c>
      <c r="M48" s="52">
        <f t="shared" si="5"/>
        <v>-333462.55053562229</v>
      </c>
    </row>
    <row r="49" spans="8:13" hidden="1" x14ac:dyDescent="0.2">
      <c r="H49" s="47">
        <v>44</v>
      </c>
      <c r="I49" s="51">
        <f t="shared" si="3"/>
        <v>46326</v>
      </c>
      <c r="J49" s="52">
        <f>IF($F$8*12&lt;H49,$Q$7-K49,0)</f>
        <v>18141.522674230324</v>
      </c>
      <c r="K49" s="52">
        <f t="shared" si="4"/>
        <v>-1111.5418351187411</v>
      </c>
      <c r="L49" s="52">
        <f t="shared" si="1"/>
        <v>17029.980839111584</v>
      </c>
      <c r="M49" s="52">
        <f t="shared" si="5"/>
        <v>-351604.07320985262</v>
      </c>
    </row>
    <row r="50" spans="8:13" hidden="1" x14ac:dyDescent="0.2">
      <c r="H50" s="47">
        <v>45</v>
      </c>
      <c r="I50" s="51">
        <f t="shared" si="3"/>
        <v>46356</v>
      </c>
      <c r="J50" s="52">
        <f>IF($F$8*12&lt;H50,$Q$7-K50,0)</f>
        <v>18201.994416477759</v>
      </c>
      <c r="K50" s="52">
        <f t="shared" si="4"/>
        <v>-1172.0135773661755</v>
      </c>
      <c r="L50" s="52">
        <f t="shared" si="1"/>
        <v>17029.980839111584</v>
      </c>
      <c r="M50" s="52">
        <f t="shared" si="5"/>
        <v>-369806.06762633036</v>
      </c>
    </row>
    <row r="51" spans="8:13" hidden="1" x14ac:dyDescent="0.2">
      <c r="H51" s="47">
        <v>46</v>
      </c>
      <c r="I51" s="51">
        <f t="shared" si="3"/>
        <v>46387</v>
      </c>
      <c r="J51" s="52">
        <f>IF($F$8*12&lt;H51,$Q$7-K51,0)</f>
        <v>18262.667731199352</v>
      </c>
      <c r="K51" s="52">
        <f t="shared" si="4"/>
        <v>-1232.686892087768</v>
      </c>
      <c r="L51" s="52">
        <f t="shared" si="1"/>
        <v>17029.980839111584</v>
      </c>
      <c r="M51" s="52">
        <f t="shared" si="5"/>
        <v>-388068.73535752972</v>
      </c>
    </row>
    <row r="52" spans="8:13" hidden="1" x14ac:dyDescent="0.2">
      <c r="H52" s="47">
        <v>47</v>
      </c>
      <c r="I52" s="51">
        <f t="shared" si="3"/>
        <v>46418</v>
      </c>
      <c r="J52" s="52">
        <f>IF($F$8*12&lt;H52,$Q$7-K52,0)</f>
        <v>18323.543290303351</v>
      </c>
      <c r="K52" s="52">
        <f t="shared" si="4"/>
        <v>-1293.5624511917656</v>
      </c>
      <c r="L52" s="52">
        <f t="shared" si="1"/>
        <v>17029.980839111584</v>
      </c>
      <c r="M52" s="52">
        <f t="shared" si="5"/>
        <v>-406392.27864783304</v>
      </c>
    </row>
    <row r="53" spans="8:13" hidden="1" x14ac:dyDescent="0.2">
      <c r="H53" s="47">
        <v>48</v>
      </c>
      <c r="I53" s="51">
        <f t="shared" si="3"/>
        <v>46446</v>
      </c>
      <c r="J53" s="52">
        <f>IF($F$8*12&lt;H53,$Q$7-K53,0)</f>
        <v>18384.621767937693</v>
      </c>
      <c r="K53" s="52">
        <f t="shared" si="4"/>
        <v>-1354.6409288261102</v>
      </c>
      <c r="L53" s="52">
        <f t="shared" si="1"/>
        <v>17029.980839111584</v>
      </c>
      <c r="M53" s="52">
        <f t="shared" si="5"/>
        <v>-424776.90041577071</v>
      </c>
    </row>
    <row r="54" spans="8:13" hidden="1" x14ac:dyDescent="0.2">
      <c r="H54" s="47">
        <v>49</v>
      </c>
      <c r="I54" s="51">
        <f t="shared" si="3"/>
        <v>46477</v>
      </c>
      <c r="J54" s="52">
        <f>IF($F$8*12&lt;H54,$Q$7-K54,0)</f>
        <v>18445.903840497485</v>
      </c>
      <c r="K54" s="52">
        <f t="shared" si="4"/>
        <v>-1415.9230013859024</v>
      </c>
      <c r="L54" s="52">
        <f t="shared" ref="L54:L74" si="6">SUM(J54:K54)</f>
        <v>17029.980839111584</v>
      </c>
      <c r="M54" s="52">
        <f t="shared" si="5"/>
        <v>-443222.80425626819</v>
      </c>
    </row>
    <row r="55" spans="8:13" hidden="1" x14ac:dyDescent="0.2">
      <c r="H55" s="47">
        <v>50</v>
      </c>
      <c r="I55" s="51">
        <f t="shared" ref="I55:I74" si="7">EOMONTH(I54+1,0)</f>
        <v>46507</v>
      </c>
      <c r="J55" s="52">
        <f>IF($F$8*12&lt;H55,$Q$7-K55,0)</f>
        <v>18507.390186632478</v>
      </c>
      <c r="K55" s="52">
        <f t="shared" si="4"/>
        <v>-1477.409347520894</v>
      </c>
      <c r="L55" s="52">
        <f t="shared" si="6"/>
        <v>17029.980839111584</v>
      </c>
      <c r="M55" s="52">
        <f t="shared" ref="M55:M74" si="8">M54-J55</f>
        <v>-461730.19444290065</v>
      </c>
    </row>
    <row r="56" spans="8:13" hidden="1" x14ac:dyDescent="0.2">
      <c r="H56" s="47">
        <v>51</v>
      </c>
      <c r="I56" s="51">
        <f t="shared" si="7"/>
        <v>46538</v>
      </c>
      <c r="J56" s="52">
        <f>IF($F$8*12&lt;H56,$Q$7-K56,0)</f>
        <v>18569.081487254585</v>
      </c>
      <c r="K56" s="52">
        <f t="shared" si="4"/>
        <v>-1539.1006481430022</v>
      </c>
      <c r="L56" s="52">
        <f t="shared" si="6"/>
        <v>17029.980839111584</v>
      </c>
      <c r="M56" s="52">
        <f t="shared" si="8"/>
        <v>-480299.27593015524</v>
      </c>
    </row>
    <row r="57" spans="8:13" hidden="1" x14ac:dyDescent="0.2">
      <c r="H57" s="47">
        <v>52</v>
      </c>
      <c r="I57" s="51">
        <f t="shared" si="7"/>
        <v>46568</v>
      </c>
      <c r="J57" s="52">
        <f>IF($F$8*12&lt;H57,$Q$7-K57,0)</f>
        <v>18630.978425545436</v>
      </c>
      <c r="K57" s="52">
        <f t="shared" si="4"/>
        <v>-1600.997586433851</v>
      </c>
      <c r="L57" s="52">
        <f t="shared" si="6"/>
        <v>17029.980839111584</v>
      </c>
      <c r="M57" s="52">
        <f t="shared" si="8"/>
        <v>-498930.25435570069</v>
      </c>
    </row>
    <row r="58" spans="8:13" hidden="1" x14ac:dyDescent="0.2">
      <c r="H58" s="47">
        <v>53</v>
      </c>
      <c r="I58" s="51">
        <f t="shared" si="7"/>
        <v>46599</v>
      </c>
      <c r="J58" s="52">
        <f>IF($F$8*12&lt;H58,$Q$7-K58,0)</f>
        <v>18693.08168696392</v>
      </c>
      <c r="K58" s="52">
        <f t="shared" si="4"/>
        <v>-1663.1008478523356</v>
      </c>
      <c r="L58" s="52">
        <f t="shared" si="6"/>
        <v>17029.980839111584</v>
      </c>
      <c r="M58" s="52">
        <f t="shared" si="8"/>
        <v>-517623.3360426646</v>
      </c>
    </row>
    <row r="59" spans="8:13" hidden="1" x14ac:dyDescent="0.2">
      <c r="H59" s="47">
        <v>54</v>
      </c>
      <c r="I59" s="51">
        <f t="shared" si="7"/>
        <v>46630</v>
      </c>
      <c r="J59" s="52">
        <f>IF($F$8*12&lt;H59,$Q$7-K59,0)</f>
        <v>18755.3919592538</v>
      </c>
      <c r="K59" s="52">
        <f t="shared" si="4"/>
        <v>-1725.4111201422154</v>
      </c>
      <c r="L59" s="52">
        <f t="shared" si="6"/>
        <v>17029.980839111584</v>
      </c>
      <c r="M59" s="52">
        <f t="shared" si="8"/>
        <v>-536378.72800191841</v>
      </c>
    </row>
    <row r="60" spans="8:13" hidden="1" x14ac:dyDescent="0.2">
      <c r="H60" s="47">
        <v>55</v>
      </c>
      <c r="I60" s="51">
        <f t="shared" si="7"/>
        <v>46660</v>
      </c>
      <c r="J60" s="52">
        <f>IF($F$8*12&lt;H60,$Q$7-K60,0)</f>
        <v>18817.909932451312</v>
      </c>
      <c r="K60" s="52">
        <f t="shared" si="4"/>
        <v>-1787.9290933397281</v>
      </c>
      <c r="L60" s="52">
        <f t="shared" si="6"/>
        <v>17029.980839111584</v>
      </c>
      <c r="M60" s="52">
        <f t="shared" si="8"/>
        <v>-555196.63793436973</v>
      </c>
    </row>
    <row r="61" spans="8:13" hidden="1" x14ac:dyDescent="0.2">
      <c r="H61" s="47">
        <v>56</v>
      </c>
      <c r="I61" s="51">
        <f t="shared" si="7"/>
        <v>46691</v>
      </c>
      <c r="J61" s="52">
        <f>IF($F$8*12&lt;H61,$Q$7-K61,0)</f>
        <v>18880.636298892816</v>
      </c>
      <c r="K61" s="52">
        <f t="shared" si="4"/>
        <v>-1850.6554597812326</v>
      </c>
      <c r="L61" s="52">
        <f t="shared" si="6"/>
        <v>17029.980839111584</v>
      </c>
      <c r="M61" s="52">
        <f t="shared" si="8"/>
        <v>-574077.27423326252</v>
      </c>
    </row>
    <row r="62" spans="8:13" hidden="1" x14ac:dyDescent="0.2">
      <c r="H62" s="47">
        <v>57</v>
      </c>
      <c r="I62" s="51">
        <f t="shared" si="7"/>
        <v>46721</v>
      </c>
      <c r="J62" s="52">
        <f>IF($F$8*12&lt;H62,$Q$7-K62,0)</f>
        <v>18943.571753222459</v>
      </c>
      <c r="K62" s="52">
        <f t="shared" si="4"/>
        <v>-1913.590914110875</v>
      </c>
      <c r="L62" s="52">
        <f t="shared" si="6"/>
        <v>17029.980839111584</v>
      </c>
      <c r="M62" s="52">
        <f t="shared" si="8"/>
        <v>-593020.84598648502</v>
      </c>
    </row>
    <row r="63" spans="8:13" hidden="1" x14ac:dyDescent="0.2">
      <c r="H63" s="47">
        <v>58</v>
      </c>
      <c r="I63" s="51">
        <f t="shared" si="7"/>
        <v>46752</v>
      </c>
      <c r="J63" s="52">
        <f>IF($F$8*12&lt;H63,$Q$7-K63,0)</f>
        <v>19006.716992399866</v>
      </c>
      <c r="K63" s="52">
        <f t="shared" si="4"/>
        <v>-1976.7361532882833</v>
      </c>
      <c r="L63" s="52">
        <f t="shared" si="6"/>
        <v>17029.980839111584</v>
      </c>
      <c r="M63" s="52">
        <f t="shared" si="8"/>
        <v>-612027.5629788849</v>
      </c>
    </row>
    <row r="64" spans="8:13" hidden="1" x14ac:dyDescent="0.2">
      <c r="H64" s="47">
        <v>59</v>
      </c>
      <c r="I64" s="51">
        <f t="shared" si="7"/>
        <v>46783</v>
      </c>
      <c r="J64" s="52">
        <f>IF($F$8*12&lt;H64,$Q$7-K64,0)</f>
        <v>19070.072715707865</v>
      </c>
      <c r="K64" s="52">
        <f t="shared" si="4"/>
        <v>-2040.0918765962831</v>
      </c>
      <c r="L64" s="52">
        <f t="shared" si="6"/>
        <v>17029.980839111584</v>
      </c>
      <c r="M64" s="52">
        <f t="shared" si="8"/>
        <v>-631097.63569459273</v>
      </c>
    </row>
    <row r="65" spans="8:13" hidden="1" x14ac:dyDescent="0.2">
      <c r="H65" s="47">
        <v>60</v>
      </c>
      <c r="I65" s="51">
        <f t="shared" si="7"/>
        <v>46812</v>
      </c>
      <c r="J65" s="52">
        <f>IF($F$8*12&lt;H65,$Q$7-K65,0)</f>
        <v>19133.639624760228</v>
      </c>
      <c r="K65" s="52">
        <f t="shared" si="4"/>
        <v>-2103.6587856486426</v>
      </c>
      <c r="L65" s="52">
        <f t="shared" si="6"/>
        <v>17029.980839111584</v>
      </c>
      <c r="M65" s="52">
        <f t="shared" si="8"/>
        <v>-650231.27531935298</v>
      </c>
    </row>
    <row r="66" spans="8:13" hidden="1" x14ac:dyDescent="0.2">
      <c r="H66" s="47">
        <v>61</v>
      </c>
      <c r="I66" s="51">
        <f t="shared" si="7"/>
        <v>46843</v>
      </c>
      <c r="J66" s="52">
        <f>IF($F$8*12&lt;H66,$Q$7-K66,0)</f>
        <v>19197.418423509429</v>
      </c>
      <c r="K66" s="52">
        <f t="shared" si="4"/>
        <v>-2167.4375843978432</v>
      </c>
      <c r="L66" s="52">
        <f t="shared" si="6"/>
        <v>17029.980839111588</v>
      </c>
      <c r="M66" s="52">
        <f t="shared" si="8"/>
        <v>-669428.69374286244</v>
      </c>
    </row>
    <row r="67" spans="8:13" hidden="1" x14ac:dyDescent="0.2">
      <c r="H67" s="47">
        <v>62</v>
      </c>
      <c r="I67" s="51">
        <f t="shared" si="7"/>
        <v>46873</v>
      </c>
      <c r="J67" s="52">
        <f>IF($F$8*12&lt;H67,$Q$7-K67,0)</f>
        <v>19261.409818254459</v>
      </c>
      <c r="K67" s="52">
        <f t="shared" si="4"/>
        <v>-2231.4289791428751</v>
      </c>
      <c r="L67" s="52">
        <f t="shared" si="6"/>
        <v>17029.980839111584</v>
      </c>
      <c r="M67" s="52">
        <f t="shared" si="8"/>
        <v>-688690.10356111685</v>
      </c>
    </row>
    <row r="68" spans="8:13" hidden="1" x14ac:dyDescent="0.2">
      <c r="H68" s="47">
        <v>63</v>
      </c>
      <c r="I68" s="51">
        <f t="shared" si="7"/>
        <v>46904</v>
      </c>
      <c r="J68" s="52">
        <f>IF($F$8*12&lt;H68,$Q$7-K68,0)</f>
        <v>19325.614517648639</v>
      </c>
      <c r="K68" s="52">
        <f t="shared" si="4"/>
        <v>-2295.6336785370563</v>
      </c>
      <c r="L68" s="52">
        <f t="shared" si="6"/>
        <v>17029.980839111584</v>
      </c>
      <c r="M68" s="52">
        <f t="shared" si="8"/>
        <v>-708015.71807876544</v>
      </c>
    </row>
    <row r="69" spans="8:13" hidden="1" x14ac:dyDescent="0.2">
      <c r="H69" s="47">
        <v>64</v>
      </c>
      <c r="I69" s="51">
        <f t="shared" si="7"/>
        <v>46934</v>
      </c>
      <c r="J69" s="52">
        <f>IF($F$8*12&lt;H69,$Q$7-K69,0)</f>
        <v>19390.033232707468</v>
      </c>
      <c r="K69" s="52">
        <f t="shared" si="4"/>
        <v>-2360.052393595885</v>
      </c>
      <c r="L69" s="52">
        <f t="shared" si="6"/>
        <v>17029.980839111584</v>
      </c>
      <c r="M69" s="52">
        <f t="shared" si="8"/>
        <v>-727405.75131147285</v>
      </c>
    </row>
    <row r="70" spans="8:13" hidden="1" x14ac:dyDescent="0.2">
      <c r="H70" s="47">
        <v>65</v>
      </c>
      <c r="I70" s="51">
        <f t="shared" si="7"/>
        <v>46965</v>
      </c>
      <c r="J70" s="52">
        <f>IF($F$8*12&lt;H70,$Q$7-K70,0)</f>
        <v>19454.666676816494</v>
      </c>
      <c r="K70" s="52">
        <f t="shared" ref="K70:K101" si="9">M69*$C$5/12</f>
        <v>-2424.6858377049098</v>
      </c>
      <c r="L70" s="52">
        <f t="shared" si="6"/>
        <v>17029.980839111584</v>
      </c>
      <c r="M70" s="52">
        <f t="shared" si="8"/>
        <v>-746860.41798828938</v>
      </c>
    </row>
    <row r="71" spans="8:13" hidden="1" x14ac:dyDescent="0.2">
      <c r="H71" s="47">
        <v>66</v>
      </c>
      <c r="I71" s="51">
        <f t="shared" si="7"/>
        <v>46996</v>
      </c>
      <c r="J71" s="52">
        <f>IF($F$8*12&lt;H71,$Q$7-K71,0)</f>
        <v>19519.515565739217</v>
      </c>
      <c r="K71" s="52">
        <f t="shared" si="9"/>
        <v>-2489.5347266276312</v>
      </c>
      <c r="L71" s="52">
        <f t="shared" si="6"/>
        <v>17029.980839111588</v>
      </c>
      <c r="M71" s="52">
        <f t="shared" si="8"/>
        <v>-766379.93355402863</v>
      </c>
    </row>
    <row r="72" spans="8:13" hidden="1" x14ac:dyDescent="0.2">
      <c r="H72" s="47">
        <v>67</v>
      </c>
      <c r="I72" s="51">
        <f t="shared" si="7"/>
        <v>47026</v>
      </c>
      <c r="J72" s="52">
        <f>IF($F$8*12&lt;H72,$Q$7-K72,0)</f>
        <v>19584.580617625012</v>
      </c>
      <c r="K72" s="52">
        <f t="shared" si="9"/>
        <v>-2554.5997785134291</v>
      </c>
      <c r="L72" s="52">
        <f t="shared" si="6"/>
        <v>17029.980839111584</v>
      </c>
      <c r="M72" s="52">
        <f t="shared" si="8"/>
        <v>-785964.51417165366</v>
      </c>
    </row>
    <row r="73" spans="8:13" hidden="1" x14ac:dyDescent="0.2">
      <c r="H73" s="47">
        <v>68</v>
      </c>
      <c r="I73" s="51">
        <f t="shared" si="7"/>
        <v>47057</v>
      </c>
      <c r="J73" s="52">
        <f>IF($F$8*12&lt;H73,$Q$7-K73,0)</f>
        <v>19649.862553017098</v>
      </c>
      <c r="K73" s="52">
        <f t="shared" si="9"/>
        <v>-2619.8817139055122</v>
      </c>
      <c r="L73" s="52">
        <f t="shared" si="6"/>
        <v>17029.980839111584</v>
      </c>
      <c r="M73" s="52">
        <f t="shared" si="8"/>
        <v>-805614.37672467076</v>
      </c>
    </row>
    <row r="74" spans="8:13" hidden="1" x14ac:dyDescent="0.2">
      <c r="H74" s="47">
        <v>69</v>
      </c>
      <c r="I74" s="51">
        <f t="shared" si="7"/>
        <v>47087</v>
      </c>
      <c r="J74" s="52">
        <f>IF($F$8*12&lt;H74,$Q$7-K74,0)</f>
        <v>19715.362094860488</v>
      </c>
      <c r="K74" s="52">
        <f t="shared" si="9"/>
        <v>-2685.3812557489027</v>
      </c>
      <c r="L74" s="52">
        <f t="shared" si="6"/>
        <v>17029.980839111584</v>
      </c>
      <c r="M74" s="52">
        <f t="shared" si="8"/>
        <v>-825329.73881953128</v>
      </c>
    </row>
    <row r="75" spans="8:13" hidden="1" x14ac:dyDescent="0.2">
      <c r="H75" s="47">
        <v>70</v>
      </c>
      <c r="I75" s="51">
        <f t="shared" ref="I75:I101" si="10">EOMONTH(I74+1,0)</f>
        <v>47118</v>
      </c>
      <c r="J75" s="52">
        <f>IF($F$8*12&lt;H75,$Q$7-K75,0)</f>
        <v>19781.079968510021</v>
      </c>
      <c r="K75" s="52">
        <f t="shared" si="9"/>
        <v>-2751.0991293984375</v>
      </c>
      <c r="L75" s="52">
        <f t="shared" ref="L75:L101" si="11">SUM(J75:K75)</f>
        <v>17029.980839111584</v>
      </c>
      <c r="M75" s="52">
        <f t="shared" ref="M75:M101" si="12">M74-J75</f>
        <v>-845110.81878804136</v>
      </c>
    </row>
    <row r="76" spans="8:13" hidden="1" x14ac:dyDescent="0.2">
      <c r="H76" s="47">
        <v>71</v>
      </c>
      <c r="I76" s="51">
        <f t="shared" si="10"/>
        <v>47149</v>
      </c>
      <c r="J76" s="52">
        <f>IF($F$8*12&lt;H76,$Q$7-K76,0)</f>
        <v>19847.016901738389</v>
      </c>
      <c r="K76" s="52">
        <f t="shared" si="9"/>
        <v>-2817.0360626268048</v>
      </c>
      <c r="L76" s="52">
        <f t="shared" si="11"/>
        <v>17029.980839111584</v>
      </c>
      <c r="M76" s="52">
        <f t="shared" si="12"/>
        <v>-864957.83568977972</v>
      </c>
    </row>
    <row r="77" spans="8:13" hidden="1" x14ac:dyDescent="0.2">
      <c r="H77" s="47">
        <v>72</v>
      </c>
      <c r="I77" s="51">
        <f t="shared" si="10"/>
        <v>47177</v>
      </c>
      <c r="J77" s="52">
        <f>IF($F$8*12&lt;H77,$Q$7-K77,0)</f>
        <v>19913.173624744184</v>
      </c>
      <c r="K77" s="52">
        <f t="shared" si="9"/>
        <v>-2883.1927856325988</v>
      </c>
      <c r="L77" s="52">
        <f t="shared" si="11"/>
        <v>17029.980839111584</v>
      </c>
      <c r="M77" s="52">
        <f t="shared" si="12"/>
        <v>-884871.00931452389</v>
      </c>
    </row>
    <row r="78" spans="8:13" hidden="1" x14ac:dyDescent="0.2">
      <c r="H78" s="47">
        <v>73</v>
      </c>
      <c r="I78" s="51">
        <f t="shared" si="10"/>
        <v>47208</v>
      </c>
      <c r="J78" s="52">
        <f>IF($F$8*12&lt;H78,$Q$7-K78,0)</f>
        <v>19979.550870159997</v>
      </c>
      <c r="K78" s="52">
        <f t="shared" si="9"/>
        <v>-2949.5700310484131</v>
      </c>
      <c r="L78" s="52">
        <f t="shared" si="11"/>
        <v>17029.980839111584</v>
      </c>
      <c r="M78" s="52">
        <f t="shared" si="12"/>
        <v>-904850.56018468388</v>
      </c>
    </row>
    <row r="79" spans="8:13" hidden="1" x14ac:dyDescent="0.2">
      <c r="H79" s="47">
        <v>74</v>
      </c>
      <c r="I79" s="51">
        <f t="shared" si="10"/>
        <v>47238</v>
      </c>
      <c r="J79" s="52">
        <f>IF($F$8*12&lt;H79,$Q$7-K79,0)</f>
        <v>20046.149373060529</v>
      </c>
      <c r="K79" s="52">
        <f t="shared" si="9"/>
        <v>-3016.1685339489463</v>
      </c>
      <c r="L79" s="52">
        <f t="shared" si="11"/>
        <v>17029.980839111584</v>
      </c>
      <c r="M79" s="52">
        <f t="shared" si="12"/>
        <v>-924896.70955774444</v>
      </c>
    </row>
    <row r="80" spans="8:13" hidden="1" x14ac:dyDescent="0.2">
      <c r="H80" s="47">
        <v>75</v>
      </c>
      <c r="I80" s="51">
        <f t="shared" si="10"/>
        <v>47269</v>
      </c>
      <c r="J80" s="52">
        <f>IF($F$8*12&lt;H80,$Q$7-K80,0)</f>
        <v>20112.969870970734</v>
      </c>
      <c r="K80" s="52">
        <f t="shared" si="9"/>
        <v>-3082.9890318591483</v>
      </c>
      <c r="L80" s="52">
        <f t="shared" si="11"/>
        <v>17029.980839111584</v>
      </c>
      <c r="M80" s="52">
        <f t="shared" si="12"/>
        <v>-945009.67942871514</v>
      </c>
    </row>
    <row r="81" spans="8:13" hidden="1" x14ac:dyDescent="0.2">
      <c r="H81" s="47">
        <v>76</v>
      </c>
      <c r="I81" s="51">
        <f t="shared" si="10"/>
        <v>47299</v>
      </c>
      <c r="J81" s="52">
        <f>IF($F$8*12&lt;H81,$Q$7-K81,0)</f>
        <v>20180.013103873967</v>
      </c>
      <c r="K81" s="52">
        <f t="shared" si="9"/>
        <v>-3150.0322647623839</v>
      </c>
      <c r="L81" s="52">
        <f t="shared" si="11"/>
        <v>17029.980839111584</v>
      </c>
      <c r="M81" s="52">
        <f t="shared" si="12"/>
        <v>-965189.69253258908</v>
      </c>
    </row>
    <row r="82" spans="8:13" hidden="1" x14ac:dyDescent="0.2">
      <c r="H82" s="47">
        <v>77</v>
      </c>
      <c r="I82" s="51">
        <f t="shared" si="10"/>
        <v>47330</v>
      </c>
      <c r="J82" s="52">
        <f>IF($F$8*12&lt;H82,$Q$7-K82,0)</f>
        <v>20247.279814220215</v>
      </c>
      <c r="K82" s="52">
        <f t="shared" si="9"/>
        <v>-3217.2989751086302</v>
      </c>
      <c r="L82" s="52">
        <f t="shared" si="11"/>
        <v>17029.980839111584</v>
      </c>
      <c r="M82" s="52">
        <f t="shared" si="12"/>
        <v>-985436.97234680934</v>
      </c>
    </row>
    <row r="83" spans="8:13" hidden="1" x14ac:dyDescent="0.2">
      <c r="H83" s="47">
        <v>78</v>
      </c>
      <c r="I83" s="51">
        <f t="shared" si="10"/>
        <v>47361</v>
      </c>
      <c r="J83" s="52">
        <f>IF($F$8*12&lt;H83,$Q$7-K83,0)</f>
        <v>20314.770746934282</v>
      </c>
      <c r="K83" s="52">
        <f t="shared" si="9"/>
        <v>-3284.7899078226978</v>
      </c>
      <c r="L83" s="52">
        <f t="shared" si="11"/>
        <v>17029.980839111584</v>
      </c>
      <c r="M83" s="52">
        <f t="shared" si="12"/>
        <v>-1005751.7430937436</v>
      </c>
    </row>
    <row r="84" spans="8:13" hidden="1" x14ac:dyDescent="0.2">
      <c r="H84" s="47">
        <v>79</v>
      </c>
      <c r="I84" s="51">
        <f t="shared" si="10"/>
        <v>47391</v>
      </c>
      <c r="J84" s="52">
        <f>IF($F$8*12&lt;H84,$Q$7-K84,0)</f>
        <v>20382.486649424063</v>
      </c>
      <c r="K84" s="52">
        <f t="shared" si="9"/>
        <v>-3352.5058103124788</v>
      </c>
      <c r="L84" s="52">
        <f t="shared" si="11"/>
        <v>17029.980839111584</v>
      </c>
      <c r="M84" s="52">
        <f t="shared" si="12"/>
        <v>-1026134.2297431676</v>
      </c>
    </row>
    <row r="85" spans="8:13" hidden="1" x14ac:dyDescent="0.2">
      <c r="H85" s="47">
        <v>80</v>
      </c>
      <c r="I85" s="51">
        <f t="shared" si="10"/>
        <v>47422</v>
      </c>
      <c r="J85" s="52">
        <f>IF($F$8*12&lt;H85,$Q$7-K85,0)</f>
        <v>20450.428271588811</v>
      </c>
      <c r="K85" s="52">
        <f t="shared" si="9"/>
        <v>-3420.4474324772254</v>
      </c>
      <c r="L85" s="52">
        <f t="shared" si="11"/>
        <v>17029.980839111588</v>
      </c>
      <c r="M85" s="52">
        <f t="shared" si="12"/>
        <v>-1046584.6580147564</v>
      </c>
    </row>
    <row r="86" spans="8:13" hidden="1" x14ac:dyDescent="0.2">
      <c r="H86" s="47">
        <v>81</v>
      </c>
      <c r="I86" s="51">
        <f t="shared" si="10"/>
        <v>47452</v>
      </c>
      <c r="J86" s="52">
        <f>IF($F$8*12&lt;H86,$Q$7-K86,0)</f>
        <v>20518.596365827438</v>
      </c>
      <c r="K86" s="52">
        <f t="shared" si="9"/>
        <v>-3488.6155267158551</v>
      </c>
      <c r="L86" s="52">
        <f t="shared" si="11"/>
        <v>17029.980839111584</v>
      </c>
      <c r="M86" s="52">
        <f t="shared" si="12"/>
        <v>-1067103.2543805838</v>
      </c>
    </row>
    <row r="87" spans="8:13" hidden="1" x14ac:dyDescent="0.2">
      <c r="H87" s="47">
        <v>82</v>
      </c>
      <c r="I87" s="51">
        <f t="shared" si="10"/>
        <v>47483</v>
      </c>
      <c r="J87" s="52">
        <f>IF($F$8*12&lt;H87,$Q$7-K87,0)</f>
        <v>20586.991687046862</v>
      </c>
      <c r="K87" s="52">
        <f t="shared" si="9"/>
        <v>-3557.0108479352789</v>
      </c>
      <c r="L87" s="52">
        <f t="shared" si="11"/>
        <v>17029.980839111584</v>
      </c>
      <c r="M87" s="52">
        <f t="shared" si="12"/>
        <v>-1087690.2460676306</v>
      </c>
    </row>
    <row r="88" spans="8:13" hidden="1" x14ac:dyDescent="0.2">
      <c r="H88" s="47">
        <v>83</v>
      </c>
      <c r="I88" s="51">
        <f t="shared" si="10"/>
        <v>47514</v>
      </c>
      <c r="J88" s="52">
        <f>IF($F$8*12&lt;H88,$Q$7-K88,0)</f>
        <v>20655.614992670351</v>
      </c>
      <c r="K88" s="52">
        <f t="shared" si="9"/>
        <v>-3625.634153558769</v>
      </c>
      <c r="L88" s="52">
        <f t="shared" si="11"/>
        <v>17029.98083911158</v>
      </c>
      <c r="M88" s="52">
        <f t="shared" si="12"/>
        <v>-1108345.8610603008</v>
      </c>
    </row>
    <row r="89" spans="8:13" hidden="1" x14ac:dyDescent="0.2">
      <c r="H89" s="47">
        <v>84</v>
      </c>
      <c r="I89" s="51">
        <f t="shared" si="10"/>
        <v>47542</v>
      </c>
      <c r="J89" s="52">
        <f>IF($F$8*12&lt;H89,$Q$7-K89,0)</f>
        <v>20724.46704264592</v>
      </c>
      <c r="K89" s="52">
        <f t="shared" si="9"/>
        <v>-3694.4862035343363</v>
      </c>
      <c r="L89" s="52">
        <f t="shared" si="11"/>
        <v>17029.980839111584</v>
      </c>
      <c r="M89" s="52">
        <f t="shared" si="12"/>
        <v>-1129070.3281029467</v>
      </c>
    </row>
    <row r="90" spans="8:13" hidden="1" x14ac:dyDescent="0.2">
      <c r="H90" s="47">
        <v>85</v>
      </c>
      <c r="I90" s="51">
        <f t="shared" si="10"/>
        <v>47573</v>
      </c>
      <c r="J90" s="52">
        <f>IF($F$8*12&lt;H90,$Q$7-K90,0)</f>
        <v>20793.548599454742</v>
      </c>
      <c r="K90" s="52">
        <f t="shared" si="9"/>
        <v>-3763.5677603431559</v>
      </c>
      <c r="L90" s="52">
        <f t="shared" si="11"/>
        <v>17029.980839111588</v>
      </c>
      <c r="M90" s="52">
        <f t="shared" si="12"/>
        <v>-1149863.8767024016</v>
      </c>
    </row>
    <row r="91" spans="8:13" hidden="1" x14ac:dyDescent="0.2">
      <c r="H91" s="47">
        <v>86</v>
      </c>
      <c r="I91" s="51">
        <f t="shared" si="10"/>
        <v>47603</v>
      </c>
      <c r="J91" s="52">
        <f>IF($F$8*12&lt;H91,$Q$7-K91,0)</f>
        <v>20862.860428119588</v>
      </c>
      <c r="K91" s="52">
        <f t="shared" si="9"/>
        <v>-3832.8795890080055</v>
      </c>
      <c r="L91" s="52">
        <f t="shared" si="11"/>
        <v>17029.98083911158</v>
      </c>
      <c r="M91" s="52">
        <f t="shared" si="12"/>
        <v>-1170726.7371305211</v>
      </c>
    </row>
    <row r="92" spans="8:13" hidden="1" x14ac:dyDescent="0.2">
      <c r="H92" s="47">
        <v>87</v>
      </c>
      <c r="I92" s="51">
        <f t="shared" si="10"/>
        <v>47634</v>
      </c>
      <c r="J92" s="52">
        <f>IF($F$8*12&lt;H92,$Q$7-K92,0)</f>
        <v>20932.403296213321</v>
      </c>
      <c r="K92" s="52">
        <f t="shared" si="9"/>
        <v>-3902.4224571017371</v>
      </c>
      <c r="L92" s="52">
        <f t="shared" si="11"/>
        <v>17029.980839111584</v>
      </c>
      <c r="M92" s="52">
        <f t="shared" si="12"/>
        <v>-1191659.1404267345</v>
      </c>
    </row>
    <row r="93" spans="8:13" hidden="1" x14ac:dyDescent="0.2">
      <c r="H93" s="47">
        <v>88</v>
      </c>
      <c r="I93" s="51">
        <f t="shared" si="10"/>
        <v>47664</v>
      </c>
      <c r="J93" s="52">
        <f>IF($F$8*12&lt;H93,$Q$7-K93,0)</f>
        <v>21002.177973867365</v>
      </c>
      <c r="K93" s="52">
        <f t="shared" si="9"/>
        <v>-3972.1971347557815</v>
      </c>
      <c r="L93" s="52">
        <f t="shared" si="11"/>
        <v>17029.980839111584</v>
      </c>
      <c r="M93" s="52">
        <f t="shared" si="12"/>
        <v>-1212661.3184006019</v>
      </c>
    </row>
    <row r="94" spans="8:13" hidden="1" x14ac:dyDescent="0.2">
      <c r="H94" s="47">
        <v>89</v>
      </c>
      <c r="I94" s="51">
        <f t="shared" si="10"/>
        <v>47695</v>
      </c>
      <c r="J94" s="52">
        <f>IF($F$8*12&lt;H94,$Q$7-K94,0)</f>
        <v>21072.185233780256</v>
      </c>
      <c r="K94" s="52">
        <f t="shared" si="9"/>
        <v>-4042.2043946686731</v>
      </c>
      <c r="L94" s="52">
        <f t="shared" si="11"/>
        <v>17029.980839111584</v>
      </c>
      <c r="M94" s="52">
        <f t="shared" si="12"/>
        <v>-1233733.503634382</v>
      </c>
    </row>
    <row r="95" spans="8:13" hidden="1" x14ac:dyDescent="0.2">
      <c r="H95" s="47">
        <v>90</v>
      </c>
      <c r="I95" s="51">
        <f t="shared" si="10"/>
        <v>47726</v>
      </c>
      <c r="J95" s="52">
        <f>IF($F$8*12&lt;H95,$Q$7-K95,0)</f>
        <v>21142.425851226191</v>
      </c>
      <c r="K95" s="52">
        <f t="shared" si="9"/>
        <v>-4112.4450121146065</v>
      </c>
      <c r="L95" s="52">
        <f t="shared" si="11"/>
        <v>17029.980839111584</v>
      </c>
      <c r="M95" s="52">
        <f t="shared" si="12"/>
        <v>-1254875.9294856081</v>
      </c>
    </row>
    <row r="96" spans="8:13" hidden="1" x14ac:dyDescent="0.2">
      <c r="H96" s="47">
        <v>91</v>
      </c>
      <c r="I96" s="51">
        <f t="shared" si="10"/>
        <v>47756</v>
      </c>
      <c r="J96" s="52">
        <f>IF($F$8*12&lt;H96,$Q$7-K96,0)</f>
        <v>21212.900604063612</v>
      </c>
      <c r="K96" s="52">
        <f t="shared" si="9"/>
        <v>-4182.9197649520274</v>
      </c>
      <c r="L96" s="52">
        <f t="shared" si="11"/>
        <v>17029.980839111584</v>
      </c>
      <c r="M96" s="52">
        <f t="shared" si="12"/>
        <v>-1276088.8300896718</v>
      </c>
    </row>
    <row r="97" spans="8:13" hidden="1" x14ac:dyDescent="0.2">
      <c r="H97" s="47">
        <v>92</v>
      </c>
      <c r="I97" s="51">
        <f t="shared" si="10"/>
        <v>47787</v>
      </c>
      <c r="J97" s="52">
        <f>IF($F$8*12&lt;H97,$Q$7-K97,0)</f>
        <v>21283.610272743823</v>
      </c>
      <c r="K97" s="52">
        <f t="shared" si="9"/>
        <v>-4253.6294336322399</v>
      </c>
      <c r="L97" s="52">
        <f t="shared" si="11"/>
        <v>17029.980839111584</v>
      </c>
      <c r="M97" s="52">
        <f t="shared" si="12"/>
        <v>-1297372.4403624155</v>
      </c>
    </row>
    <row r="98" spans="8:13" hidden="1" x14ac:dyDescent="0.2">
      <c r="H98" s="47">
        <v>93</v>
      </c>
      <c r="I98" s="51">
        <f t="shared" si="10"/>
        <v>47817</v>
      </c>
      <c r="J98" s="52">
        <f>IF($F$8*12&lt;H98,$Q$7-K98,0)</f>
        <v>21354.555640319635</v>
      </c>
      <c r="K98" s="52">
        <f t="shared" si="9"/>
        <v>-4324.5748012080521</v>
      </c>
      <c r="L98" s="52">
        <f t="shared" si="11"/>
        <v>17029.980839111584</v>
      </c>
      <c r="M98" s="52">
        <f t="shared" si="12"/>
        <v>-1318726.9960027351</v>
      </c>
    </row>
    <row r="99" spans="8:13" hidden="1" x14ac:dyDescent="0.2">
      <c r="H99" s="47">
        <v>94</v>
      </c>
      <c r="I99" s="51">
        <f t="shared" si="10"/>
        <v>47848</v>
      </c>
      <c r="J99" s="52">
        <f>IF($F$8*12&lt;H99,$Q$7-K99,0)</f>
        <v>21425.737492454035</v>
      </c>
      <c r="K99" s="52">
        <f t="shared" si="9"/>
        <v>-4395.7566533424506</v>
      </c>
      <c r="L99" s="52">
        <f t="shared" si="11"/>
        <v>17029.980839111584</v>
      </c>
      <c r="M99" s="52">
        <f t="shared" si="12"/>
        <v>-1340152.7334951891</v>
      </c>
    </row>
    <row r="100" spans="8:13" hidden="1" x14ac:dyDescent="0.2">
      <c r="H100" s="47">
        <v>95</v>
      </c>
      <c r="I100" s="51">
        <f t="shared" si="10"/>
        <v>47879</v>
      </c>
      <c r="J100" s="52">
        <f>IF($F$8*12&lt;H100,$Q$7-K100,0)</f>
        <v>21497.156617428882</v>
      </c>
      <c r="K100" s="52">
        <f t="shared" si="9"/>
        <v>-4467.175778317297</v>
      </c>
      <c r="L100" s="52">
        <f t="shared" si="11"/>
        <v>17029.980839111584</v>
      </c>
      <c r="M100" s="52">
        <f t="shared" si="12"/>
        <v>-1361649.890112618</v>
      </c>
    </row>
    <row r="101" spans="8:13" hidden="1" x14ac:dyDescent="0.2">
      <c r="H101" s="47">
        <v>96</v>
      </c>
      <c r="I101" s="51">
        <f t="shared" si="10"/>
        <v>47907</v>
      </c>
      <c r="J101" s="52">
        <f>IF($F$8*12&lt;H101,$Q$7-K101,0)</f>
        <v>21568.813806153645</v>
      </c>
      <c r="K101" s="52">
        <f t="shared" si="9"/>
        <v>-4538.8329670420599</v>
      </c>
      <c r="L101" s="52">
        <f t="shared" si="11"/>
        <v>17029.980839111584</v>
      </c>
      <c r="M101" s="52">
        <f t="shared" si="12"/>
        <v>-1383218.7039187716</v>
      </c>
    </row>
    <row r="102" spans="8:13" hidden="1" x14ac:dyDescent="0.2">
      <c r="H102" s="47">
        <v>97</v>
      </c>
      <c r="I102" s="51">
        <f t="shared" ref="I102:I125" si="13">EOMONTH(I101+1,0)</f>
        <v>47938</v>
      </c>
      <c r="J102" s="52">
        <f>IF($F$8*12&lt;H102,$Q$7-K102,0)</f>
        <v>21640.709852174157</v>
      </c>
      <c r="K102" s="52">
        <f t="shared" ref="K102:K125" si="14">M101*$C$5/12</f>
        <v>-4610.7290130625724</v>
      </c>
      <c r="L102" s="52">
        <f t="shared" ref="L102:L125" si="15">SUM(J102:K102)</f>
        <v>17029.980839111584</v>
      </c>
      <c r="M102" s="52">
        <f t="shared" ref="M102:M125" si="16">M101-J102</f>
        <v>-1404859.4137709457</v>
      </c>
    </row>
    <row r="103" spans="8:13" hidden="1" x14ac:dyDescent="0.2">
      <c r="H103" s="47">
        <v>98</v>
      </c>
      <c r="I103" s="51">
        <f t="shared" si="13"/>
        <v>47968</v>
      </c>
      <c r="J103" s="52">
        <f>IF($F$8*12&lt;H103,$Q$7-K103,0)</f>
        <v>21712.845551681403</v>
      </c>
      <c r="K103" s="52">
        <f t="shared" si="14"/>
        <v>-4682.8647125698189</v>
      </c>
      <c r="L103" s="52">
        <f t="shared" si="15"/>
        <v>17029.980839111584</v>
      </c>
      <c r="M103" s="52">
        <f t="shared" si="16"/>
        <v>-1426572.2593226272</v>
      </c>
    </row>
    <row r="104" spans="8:13" hidden="1" x14ac:dyDescent="0.2">
      <c r="H104" s="47">
        <v>99</v>
      </c>
      <c r="I104" s="51">
        <f t="shared" si="13"/>
        <v>47999</v>
      </c>
      <c r="J104" s="52">
        <f>IF($F$8*12&lt;H104,$Q$7-K104,0)</f>
        <v>21785.221703520343</v>
      </c>
      <c r="K104" s="52">
        <f t="shared" si="14"/>
        <v>-4755.2408644087573</v>
      </c>
      <c r="L104" s="52">
        <f t="shared" si="15"/>
        <v>17029.980839111588</v>
      </c>
      <c r="M104" s="52">
        <f t="shared" si="16"/>
        <v>-1448357.4810261475</v>
      </c>
    </row>
    <row r="105" spans="8:13" hidden="1" x14ac:dyDescent="0.2">
      <c r="H105" s="47">
        <v>100</v>
      </c>
      <c r="I105" s="51">
        <f t="shared" si="13"/>
        <v>48029</v>
      </c>
      <c r="J105" s="52">
        <f>IF($F$8*12&lt;H105,$Q$7-K105,0)</f>
        <v>21857.839109198743</v>
      </c>
      <c r="K105" s="52">
        <f t="shared" si="14"/>
        <v>-4827.8582700871584</v>
      </c>
      <c r="L105" s="52">
        <f t="shared" si="15"/>
        <v>17029.980839111584</v>
      </c>
      <c r="M105" s="52">
        <f t="shared" si="16"/>
        <v>-1470215.3201353461</v>
      </c>
    </row>
    <row r="106" spans="8:13" hidden="1" x14ac:dyDescent="0.2">
      <c r="H106" s="47">
        <v>101</v>
      </c>
      <c r="I106" s="51">
        <f t="shared" si="13"/>
        <v>48060</v>
      </c>
      <c r="J106" s="52">
        <f>IF($F$8*12&lt;H106,$Q$7-K106,0)</f>
        <v>21930.698572896072</v>
      </c>
      <c r="K106" s="52">
        <f t="shared" si="14"/>
        <v>-4900.7177337844869</v>
      </c>
      <c r="L106" s="52">
        <f t="shared" si="15"/>
        <v>17029.980839111584</v>
      </c>
      <c r="M106" s="52">
        <f t="shared" si="16"/>
        <v>-1492146.0187082421</v>
      </c>
    </row>
    <row r="107" spans="8:13" hidden="1" x14ac:dyDescent="0.2">
      <c r="H107" s="47">
        <v>102</v>
      </c>
      <c r="I107" s="51">
        <f t="shared" si="13"/>
        <v>48091</v>
      </c>
      <c r="J107" s="52">
        <f>IF($F$8*12&lt;H107,$Q$7-K107,0)</f>
        <v>22003.80090147239</v>
      </c>
      <c r="K107" s="52">
        <f t="shared" si="14"/>
        <v>-4973.8200623608072</v>
      </c>
      <c r="L107" s="52">
        <f t="shared" si="15"/>
        <v>17029.980839111584</v>
      </c>
      <c r="M107" s="52">
        <f t="shared" si="16"/>
        <v>-1514149.8196097144</v>
      </c>
    </row>
    <row r="108" spans="8:13" hidden="1" x14ac:dyDescent="0.2">
      <c r="H108" s="47">
        <v>103</v>
      </c>
      <c r="I108" s="51">
        <f t="shared" si="13"/>
        <v>48121</v>
      </c>
      <c r="J108" s="52">
        <f>IF($F$8*12&lt;H108,$Q$7-K108,0)</f>
        <v>22077.1469044773</v>
      </c>
      <c r="K108" s="52">
        <f t="shared" si="14"/>
        <v>-5047.1660653657154</v>
      </c>
      <c r="L108" s="52">
        <f t="shared" si="15"/>
        <v>17029.980839111584</v>
      </c>
      <c r="M108" s="52">
        <f t="shared" si="16"/>
        <v>-1536226.9665141918</v>
      </c>
    </row>
    <row r="109" spans="8:13" hidden="1" x14ac:dyDescent="0.2">
      <c r="H109" s="47">
        <v>104</v>
      </c>
      <c r="I109" s="51">
        <f t="shared" si="13"/>
        <v>48152</v>
      </c>
      <c r="J109" s="52">
        <f>IF($F$8*12&lt;H109,$Q$7-K109,0)</f>
        <v>22150.737394158888</v>
      </c>
      <c r="K109" s="52">
        <f t="shared" si="14"/>
        <v>-5120.7565550473064</v>
      </c>
      <c r="L109" s="52">
        <f t="shared" si="15"/>
        <v>17029.98083911158</v>
      </c>
      <c r="M109" s="52">
        <f t="shared" si="16"/>
        <v>-1558377.7039083508</v>
      </c>
    </row>
    <row r="110" spans="8:13" hidden="1" x14ac:dyDescent="0.2">
      <c r="H110" s="47">
        <v>105</v>
      </c>
      <c r="I110" s="51">
        <f t="shared" si="13"/>
        <v>48182</v>
      </c>
      <c r="J110" s="52">
        <f>IF($F$8*12&lt;H110,$Q$7-K110,0)</f>
        <v>22224.573185472753</v>
      </c>
      <c r="K110" s="52">
        <f t="shared" si="14"/>
        <v>-5194.5923463611698</v>
      </c>
      <c r="L110" s="52">
        <f t="shared" si="15"/>
        <v>17029.980839111584</v>
      </c>
      <c r="M110" s="52">
        <f t="shared" si="16"/>
        <v>-1580602.2770938235</v>
      </c>
    </row>
    <row r="111" spans="8:13" hidden="1" x14ac:dyDescent="0.2">
      <c r="H111" s="47">
        <v>106</v>
      </c>
      <c r="I111" s="51">
        <f t="shared" si="13"/>
        <v>48213</v>
      </c>
      <c r="J111" s="52">
        <f>IF($F$8*12&lt;H111,$Q$7-K111,0)</f>
        <v>22298.655096090995</v>
      </c>
      <c r="K111" s="52">
        <f t="shared" si="14"/>
        <v>-5268.6742569794123</v>
      </c>
      <c r="L111" s="52">
        <f t="shared" si="15"/>
        <v>17029.980839111584</v>
      </c>
      <c r="M111" s="52">
        <f t="shared" si="16"/>
        <v>-1602900.9321899146</v>
      </c>
    </row>
    <row r="112" spans="8:13" hidden="1" x14ac:dyDescent="0.2">
      <c r="H112" s="47">
        <v>107</v>
      </c>
      <c r="I112" s="51">
        <f t="shared" si="13"/>
        <v>48244</v>
      </c>
      <c r="J112" s="52">
        <f>IF($F$8*12&lt;H112,$Q$7-K112,0)</f>
        <v>22372.983946411299</v>
      </c>
      <c r="K112" s="52">
        <f t="shared" si="14"/>
        <v>-5343.0031072997153</v>
      </c>
      <c r="L112" s="52">
        <f t="shared" si="15"/>
        <v>17029.980839111584</v>
      </c>
      <c r="M112" s="52">
        <f t="shared" si="16"/>
        <v>-1625273.916136326</v>
      </c>
    </row>
    <row r="113" spans="8:13" hidden="1" x14ac:dyDescent="0.2">
      <c r="H113" s="47">
        <v>108</v>
      </c>
      <c r="I113" s="51">
        <f t="shared" si="13"/>
        <v>48273</v>
      </c>
      <c r="J113" s="52">
        <f>IF($F$8*12&lt;H113,$Q$7-K113,0)</f>
        <v>22447.560559566005</v>
      </c>
      <c r="K113" s="52">
        <f t="shared" si="14"/>
        <v>-5417.5797204544206</v>
      </c>
      <c r="L113" s="52">
        <f t="shared" si="15"/>
        <v>17029.980839111584</v>
      </c>
      <c r="M113" s="52">
        <f t="shared" si="16"/>
        <v>-1647721.4766958919</v>
      </c>
    </row>
    <row r="114" spans="8:13" hidden="1" x14ac:dyDescent="0.2">
      <c r="H114" s="47">
        <v>109</v>
      </c>
      <c r="I114" s="51">
        <f t="shared" si="13"/>
        <v>48304</v>
      </c>
      <c r="J114" s="52">
        <f>IF($F$8*12&lt;H114,$Q$7-K114,0)</f>
        <v>22522.385761431226</v>
      </c>
      <c r="K114" s="52">
        <f t="shared" si="14"/>
        <v>-5492.4049223196407</v>
      </c>
      <c r="L114" s="52">
        <f t="shared" si="15"/>
        <v>17029.980839111584</v>
      </c>
      <c r="M114" s="52">
        <f t="shared" si="16"/>
        <v>-1670243.8624573231</v>
      </c>
    </row>
    <row r="115" spans="8:13" hidden="1" x14ac:dyDescent="0.2">
      <c r="H115" s="47">
        <v>110</v>
      </c>
      <c r="I115" s="51">
        <f t="shared" si="13"/>
        <v>48334</v>
      </c>
      <c r="J115" s="52">
        <f>IF($F$8*12&lt;H115,$Q$7-K115,0)</f>
        <v>22597.460380635996</v>
      </c>
      <c r="K115" s="52">
        <f t="shared" si="14"/>
        <v>-5567.4795415244107</v>
      </c>
      <c r="L115" s="52">
        <f t="shared" si="15"/>
        <v>17029.980839111584</v>
      </c>
      <c r="M115" s="52">
        <f t="shared" si="16"/>
        <v>-1692841.322837959</v>
      </c>
    </row>
    <row r="116" spans="8:13" hidden="1" x14ac:dyDescent="0.2">
      <c r="H116" s="47">
        <v>111</v>
      </c>
      <c r="I116" s="51">
        <f t="shared" si="13"/>
        <v>48365</v>
      </c>
      <c r="J116" s="52">
        <f>IF($F$8*12&lt;H116,$Q$7-K116,0)</f>
        <v>22672.785248571447</v>
      </c>
      <c r="K116" s="52">
        <f t="shared" si="14"/>
        <v>-5642.8044094598636</v>
      </c>
      <c r="L116" s="52">
        <f t="shared" si="15"/>
        <v>17029.980839111584</v>
      </c>
      <c r="M116" s="52">
        <f t="shared" si="16"/>
        <v>-1715514.1080865306</v>
      </c>
    </row>
    <row r="117" spans="8:13" hidden="1" x14ac:dyDescent="0.2">
      <c r="H117" s="47">
        <v>112</v>
      </c>
      <c r="I117" s="51">
        <f t="shared" si="13"/>
        <v>48395</v>
      </c>
      <c r="J117" s="52">
        <f>IF($F$8*12&lt;H117,$Q$7-K117,0)</f>
        <v>22748.36119940002</v>
      </c>
      <c r="K117" s="52">
        <f t="shared" si="14"/>
        <v>-5718.3803602884354</v>
      </c>
      <c r="L117" s="52">
        <f t="shared" si="15"/>
        <v>17029.980839111584</v>
      </c>
      <c r="M117" s="52">
        <f t="shared" si="16"/>
        <v>-1738262.4692859305</v>
      </c>
    </row>
    <row r="118" spans="8:13" hidden="1" x14ac:dyDescent="0.2">
      <c r="H118" s="47">
        <v>113</v>
      </c>
      <c r="I118" s="51">
        <f t="shared" si="13"/>
        <v>48426</v>
      </c>
      <c r="J118" s="52">
        <f>IF($F$8*12&lt;H118,$Q$7-K118,0)</f>
        <v>22824.189070064687</v>
      </c>
      <c r="K118" s="52">
        <f t="shared" si="14"/>
        <v>-5794.2082309531024</v>
      </c>
      <c r="L118" s="52">
        <f t="shared" si="15"/>
        <v>17029.980839111584</v>
      </c>
      <c r="M118" s="52">
        <f t="shared" si="16"/>
        <v>-1761086.6583559951</v>
      </c>
    </row>
    <row r="119" spans="8:13" hidden="1" x14ac:dyDescent="0.2">
      <c r="H119" s="47">
        <v>114</v>
      </c>
      <c r="I119" s="51">
        <f t="shared" si="13"/>
        <v>48457</v>
      </c>
      <c r="J119" s="52">
        <f>IF($F$8*12&lt;H119,$Q$7-K119,0)</f>
        <v>22900.269700298235</v>
      </c>
      <c r="K119" s="52">
        <f t="shared" si="14"/>
        <v>-5870.2888611866501</v>
      </c>
      <c r="L119" s="52">
        <f t="shared" si="15"/>
        <v>17029.980839111584</v>
      </c>
      <c r="M119" s="52">
        <f t="shared" si="16"/>
        <v>-1783986.9280562934</v>
      </c>
    </row>
    <row r="120" spans="8:13" hidden="1" x14ac:dyDescent="0.2">
      <c r="H120" s="47">
        <v>115</v>
      </c>
      <c r="I120" s="51">
        <f t="shared" si="13"/>
        <v>48487</v>
      </c>
      <c r="J120" s="52">
        <f>IF($F$8*12&lt;H120,$Q$7-K120,0)</f>
        <v>22976.603932632563</v>
      </c>
      <c r="K120" s="52">
        <f t="shared" si="14"/>
        <v>-5946.6230935209787</v>
      </c>
      <c r="L120" s="52">
        <f t="shared" si="15"/>
        <v>17029.980839111584</v>
      </c>
      <c r="M120" s="52">
        <f t="shared" si="16"/>
        <v>-1806963.531988926</v>
      </c>
    </row>
    <row r="121" spans="8:13" hidden="1" x14ac:dyDescent="0.2">
      <c r="H121" s="47">
        <v>116</v>
      </c>
      <c r="I121" s="51">
        <f t="shared" si="13"/>
        <v>48518</v>
      </c>
      <c r="J121" s="52">
        <f>IF($F$8*12&lt;H121,$Q$7-K121,0)</f>
        <v>23053.192612408006</v>
      </c>
      <c r="K121" s="52">
        <f t="shared" si="14"/>
        <v>-6023.2117732964207</v>
      </c>
      <c r="L121" s="52">
        <f t="shared" si="15"/>
        <v>17029.980839111584</v>
      </c>
      <c r="M121" s="52">
        <f t="shared" si="16"/>
        <v>-1830016.724601334</v>
      </c>
    </row>
    <row r="122" spans="8:13" hidden="1" x14ac:dyDescent="0.2">
      <c r="H122" s="47">
        <v>117</v>
      </c>
      <c r="I122" s="51">
        <f t="shared" si="13"/>
        <v>48548</v>
      </c>
      <c r="J122" s="52">
        <f>IF($F$8*12&lt;H122,$Q$7-K122,0)</f>
        <v>23130.036587782699</v>
      </c>
      <c r="K122" s="52">
        <f t="shared" si="14"/>
        <v>-6100.0557486711141</v>
      </c>
      <c r="L122" s="52">
        <f t="shared" si="15"/>
        <v>17029.980839111584</v>
      </c>
      <c r="M122" s="52">
        <f t="shared" si="16"/>
        <v>-1853146.7611891166</v>
      </c>
    </row>
    <row r="123" spans="8:13" hidden="1" x14ac:dyDescent="0.2">
      <c r="H123" s="47">
        <v>118</v>
      </c>
      <c r="I123" s="51">
        <f t="shared" si="13"/>
        <v>48579</v>
      </c>
      <c r="J123" s="52">
        <f>IF($F$8*12&lt;H123,$Q$7-K123,0)</f>
        <v>23207.136709741972</v>
      </c>
      <c r="K123" s="52">
        <f t="shared" si="14"/>
        <v>-6177.1558706303886</v>
      </c>
      <c r="L123" s="52">
        <f t="shared" si="15"/>
        <v>17029.980839111584</v>
      </c>
      <c r="M123" s="52">
        <f t="shared" si="16"/>
        <v>-1876353.8978988586</v>
      </c>
    </row>
    <row r="124" spans="8:13" hidden="1" x14ac:dyDescent="0.2">
      <c r="H124" s="47">
        <v>119</v>
      </c>
      <c r="I124" s="51">
        <f t="shared" si="13"/>
        <v>48610</v>
      </c>
      <c r="J124" s="52">
        <f>IF($F$8*12&lt;H124,$Q$7-K124,0)</f>
        <v>23284.493832107779</v>
      </c>
      <c r="K124" s="52">
        <f t="shared" si="14"/>
        <v>-6254.5129929961959</v>
      </c>
      <c r="L124" s="52">
        <f t="shared" si="15"/>
        <v>17029.980839111584</v>
      </c>
      <c r="M124" s="52">
        <f t="shared" si="16"/>
        <v>-1899638.3917309665</v>
      </c>
    </row>
    <row r="125" spans="8:13" hidden="1" x14ac:dyDescent="0.2">
      <c r="H125" s="47">
        <v>120</v>
      </c>
      <c r="I125" s="51">
        <f t="shared" si="13"/>
        <v>48638</v>
      </c>
      <c r="J125" s="52">
        <f>IF($F$8*12&lt;H125,$Q$7-K125,0)</f>
        <v>23362.10881154814</v>
      </c>
      <c r="K125" s="52">
        <f t="shared" si="14"/>
        <v>-6332.127972436555</v>
      </c>
      <c r="L125" s="52">
        <f t="shared" si="15"/>
        <v>17029.980839111584</v>
      </c>
      <c r="M125" s="52">
        <f t="shared" si="16"/>
        <v>-1923000.5005425147</v>
      </c>
    </row>
    <row r="136" spans="16:19" x14ac:dyDescent="0.2">
      <c r="P136" s="52"/>
      <c r="Q136" s="52"/>
      <c r="R136" s="52"/>
      <c r="S136" s="52"/>
    </row>
    <row r="137" spans="16:19" x14ac:dyDescent="0.2">
      <c r="P137" s="52"/>
      <c r="Q137" s="52"/>
      <c r="R137" s="52"/>
      <c r="S137" s="52"/>
    </row>
    <row r="138" spans="16:19" x14ac:dyDescent="0.2">
      <c r="P138" s="52"/>
      <c r="Q138" s="52"/>
      <c r="R138" s="52"/>
      <c r="S138" s="52"/>
    </row>
    <row r="139" spans="16:19" x14ac:dyDescent="0.2">
      <c r="P139" s="52"/>
      <c r="Q139" s="52"/>
      <c r="R139" s="52"/>
      <c r="S139" s="52"/>
    </row>
    <row r="140" spans="16:19" x14ac:dyDescent="0.2">
      <c r="P140" s="52"/>
      <c r="Q140" s="52"/>
      <c r="R140" s="52"/>
      <c r="S140" s="52"/>
    </row>
  </sheetData>
  <sheetProtection algorithmName="SHA-512" hashValue="v7ZZPYj1XgRpNYdvI3WOsodnwR7yKDn9YmqkJFsDFVU8qybznkXXk/qBwH45P4HGSeeSxJL7FQvlTLgvPq1Iwg==" saltValue="CI/QRmmxsfAlf+AzizPJpw==" spinCount="100000" sheet="1" objects="1" scenarios="1"/>
  <autoFilter ref="I4:M125" xr:uid="{00000000-0009-0000-0000-000003000000}">
    <filterColumn colId="4">
      <customFilters>
        <customFilter operator="greaterThan" val="0"/>
      </customFilters>
    </filterColumn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2023</vt:lpstr>
      <vt:lpstr>2024</vt:lpstr>
      <vt:lpstr>2025</vt:lpstr>
      <vt:lpstr>Beregner</vt:lpstr>
      <vt:lpstr>'2023'!RealMaaned</vt:lpstr>
      <vt:lpstr>'2024'!RealMaaned</vt:lpstr>
      <vt:lpstr>'2025'!RealMaaned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</dc:creator>
  <cp:lastModifiedBy>Microsoft Office User</cp:lastModifiedBy>
  <dcterms:created xsi:type="dcterms:W3CDTF">2018-06-19T16:42:31Z</dcterms:created>
  <dcterms:modified xsi:type="dcterms:W3CDTF">2023-02-09T13:07:59Z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isAlle_1" visible="true" label="VisAlle" imageMso="GridSettings" onAction="VisAlle"/>
        <mso:button idQ="doc:VisBudget_1" visible="true" label="VisBudget" imageMso="FrameCreateLeft" onAction="VisBudget"/>
        <mso:button idQ="doc:VisRealiseret_1" visible="true" label="VisRealiseret" imageMso="Calculator" onAction="VisRealiseret"/>
        <mso:button idQ="doc:VisPrognose_1" visible="true" label="VisPrognose" imageMso="DollarSign" onAction="VisPrognose"/>
      </mso:documentControls>
    </mso:qat>
  </mso:ribbon>
</mso:customUI>
</file>